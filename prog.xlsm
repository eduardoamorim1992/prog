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ario\OneDrive\Documentos\Prog\"/>
    </mc:Choice>
  </mc:AlternateContent>
  <xr:revisionPtr revIDLastSave="0" documentId="13_ncr:1_{6BD47DB6-2FE8-45FA-94BC-066FDB25C12A}" xr6:coauthVersionLast="47" xr6:coauthVersionMax="47" xr10:uidLastSave="{00000000-0000-0000-0000-000000000000}"/>
  <bookViews>
    <workbookView xWindow="-120" yWindow="-120" windowWidth="29040" windowHeight="15840" xr2:uid="{039D77D1-F3F3-4252-87D0-14EF25716C58}"/>
  </bookViews>
  <sheets>
    <sheet name="WHATSAPP" sheetId="1" r:id="rId1"/>
  </sheets>
  <externalReferences>
    <externalReference r:id="rId2"/>
    <externalReference r:id="rId3"/>
  </externalReferences>
  <definedNames>
    <definedName name="_xleta.AND" hidden="1" xlm="1">#NAME?</definedName>
    <definedName name="SegmentaçãodeDados_ENCERRADA">#N/A</definedName>
    <definedName name="SegmentaçãodeDados_LOCAL">#N/A</definedName>
    <definedName name="SegmentaçãodeDados_PLANO">#N/A</definedName>
    <definedName name="SegmentaçãodeDados_SETOR">#N/A</definedName>
    <definedName name="SegmentaçãodeDados_TIPO1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  <x14:slicerCache r:id="rId6"/>
        <x14:slicerCache r:id="rId7"/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214" i="1" l="1"/>
  <c r="I214" i="1"/>
  <c r="H214" i="1"/>
  <c r="G214" i="1"/>
  <c r="F214" i="1"/>
  <c r="E214" i="1"/>
  <c r="D214" i="1"/>
  <c r="B214" i="1"/>
  <c r="A214" i="1"/>
  <c r="J213" i="1"/>
  <c r="I213" i="1"/>
  <c r="H213" i="1"/>
  <c r="G213" i="1"/>
  <c r="F213" i="1"/>
  <c r="E213" i="1"/>
  <c r="D213" i="1"/>
  <c r="B213" i="1"/>
  <c r="A213" i="1"/>
  <c r="J212" i="1"/>
  <c r="I212" i="1"/>
  <c r="H212" i="1"/>
  <c r="G212" i="1"/>
  <c r="F212" i="1"/>
  <c r="E212" i="1"/>
  <c r="D212" i="1"/>
  <c r="B212" i="1"/>
  <c r="A212" i="1"/>
  <c r="J211" i="1"/>
  <c r="I211" i="1"/>
  <c r="H211" i="1"/>
  <c r="G211" i="1"/>
  <c r="F211" i="1"/>
  <c r="E211" i="1"/>
  <c r="D211" i="1"/>
  <c r="B211" i="1"/>
  <c r="A211" i="1"/>
  <c r="J210" i="1"/>
  <c r="I210" i="1"/>
  <c r="H210" i="1"/>
  <c r="G210" i="1"/>
  <c r="F210" i="1"/>
  <c r="E210" i="1"/>
  <c r="D210" i="1"/>
  <c r="B210" i="1"/>
  <c r="A210" i="1"/>
  <c r="J209" i="1"/>
  <c r="I209" i="1"/>
  <c r="H209" i="1"/>
  <c r="G209" i="1"/>
  <c r="F209" i="1"/>
  <c r="E209" i="1"/>
  <c r="D209" i="1"/>
  <c r="B209" i="1"/>
  <c r="A209" i="1"/>
  <c r="J208" i="1"/>
  <c r="I208" i="1"/>
  <c r="H208" i="1"/>
  <c r="G208" i="1"/>
  <c r="F208" i="1"/>
  <c r="E208" i="1"/>
  <c r="D208" i="1"/>
  <c r="B208" i="1"/>
  <c r="A208" i="1"/>
  <c r="J207" i="1"/>
  <c r="I207" i="1"/>
  <c r="H207" i="1"/>
  <c r="G207" i="1"/>
  <c r="F207" i="1"/>
  <c r="E207" i="1"/>
  <c r="D207" i="1"/>
  <c r="B207" i="1"/>
  <c r="A207" i="1"/>
  <c r="J206" i="1"/>
  <c r="I206" i="1"/>
  <c r="H206" i="1"/>
  <c r="D206" i="1" s="1"/>
  <c r="G206" i="1"/>
  <c r="F206" i="1"/>
  <c r="E206" i="1"/>
  <c r="B206" i="1"/>
  <c r="A206" i="1"/>
  <c r="J205" i="1"/>
  <c r="I205" i="1"/>
  <c r="H205" i="1"/>
  <c r="G205" i="1"/>
  <c r="F205" i="1"/>
  <c r="E205" i="1"/>
  <c r="D205" i="1"/>
  <c r="B205" i="1"/>
  <c r="A205" i="1"/>
  <c r="J204" i="1"/>
  <c r="I204" i="1"/>
  <c r="H204" i="1"/>
  <c r="G204" i="1"/>
  <c r="F204" i="1"/>
  <c r="E204" i="1"/>
  <c r="D204" i="1"/>
  <c r="B204" i="1"/>
  <c r="A204" i="1"/>
  <c r="J203" i="1"/>
  <c r="I203" i="1"/>
  <c r="H203" i="1"/>
  <c r="G203" i="1"/>
  <c r="F203" i="1"/>
  <c r="E203" i="1"/>
  <c r="D203" i="1"/>
  <c r="B203" i="1"/>
  <c r="A203" i="1"/>
  <c r="J202" i="1"/>
  <c r="I202" i="1"/>
  <c r="H202" i="1"/>
  <c r="G202" i="1"/>
  <c r="F202" i="1"/>
  <c r="E202" i="1"/>
  <c r="D202" i="1"/>
  <c r="B202" i="1"/>
  <c r="A202" i="1"/>
  <c r="J201" i="1"/>
  <c r="I201" i="1"/>
  <c r="H201" i="1"/>
  <c r="G201" i="1"/>
  <c r="F201" i="1"/>
  <c r="E201" i="1"/>
  <c r="D201" i="1"/>
  <c r="B201" i="1"/>
  <c r="A201" i="1"/>
  <c r="J200" i="1"/>
  <c r="I200" i="1"/>
  <c r="H200" i="1"/>
  <c r="G200" i="1"/>
  <c r="F200" i="1"/>
  <c r="E200" i="1"/>
  <c r="D200" i="1"/>
  <c r="B200" i="1"/>
  <c r="A200" i="1"/>
  <c r="J199" i="1"/>
  <c r="I199" i="1"/>
  <c r="H199" i="1"/>
  <c r="D199" i="1" s="1"/>
  <c r="G199" i="1"/>
  <c r="F199" i="1"/>
  <c r="E199" i="1"/>
  <c r="B199" i="1"/>
  <c r="A199" i="1"/>
  <c r="J198" i="1"/>
  <c r="I198" i="1"/>
  <c r="H198" i="1"/>
  <c r="D198" i="1" s="1"/>
  <c r="G198" i="1"/>
  <c r="F198" i="1"/>
  <c r="E198" i="1"/>
  <c r="B198" i="1"/>
  <c r="A198" i="1"/>
  <c r="J197" i="1"/>
  <c r="I197" i="1"/>
  <c r="H197" i="1"/>
  <c r="D197" i="1" s="1"/>
  <c r="G197" i="1"/>
  <c r="F197" i="1"/>
  <c r="E197" i="1"/>
  <c r="B197" i="1"/>
  <c r="A197" i="1"/>
  <c r="J196" i="1"/>
  <c r="I196" i="1"/>
  <c r="H196" i="1"/>
  <c r="D196" i="1" s="1"/>
  <c r="G196" i="1"/>
  <c r="F196" i="1"/>
  <c r="E196" i="1"/>
  <c r="B196" i="1"/>
  <c r="A196" i="1"/>
  <c r="J195" i="1"/>
  <c r="I195" i="1"/>
  <c r="H195" i="1"/>
  <c r="D195" i="1" s="1"/>
  <c r="G195" i="1"/>
  <c r="F195" i="1"/>
  <c r="E195" i="1"/>
  <c r="B195" i="1"/>
  <c r="A195" i="1"/>
  <c r="J194" i="1"/>
  <c r="I194" i="1"/>
  <c r="H194" i="1"/>
  <c r="D194" i="1" s="1"/>
  <c r="G194" i="1"/>
  <c r="F194" i="1"/>
  <c r="E194" i="1"/>
  <c r="B194" i="1"/>
  <c r="A194" i="1"/>
  <c r="J193" i="1"/>
  <c r="I193" i="1"/>
  <c r="H193" i="1"/>
  <c r="D193" i="1" s="1"/>
  <c r="G193" i="1"/>
  <c r="F193" i="1"/>
  <c r="E193" i="1"/>
  <c r="B193" i="1"/>
  <c r="A193" i="1"/>
  <c r="J192" i="1"/>
  <c r="I192" i="1"/>
  <c r="H192" i="1"/>
  <c r="G192" i="1"/>
  <c r="F192" i="1"/>
  <c r="E192" i="1"/>
  <c r="D192" i="1"/>
  <c r="B192" i="1"/>
  <c r="A192" i="1"/>
  <c r="J191" i="1"/>
  <c r="I191" i="1"/>
  <c r="H191" i="1"/>
  <c r="D191" i="1" s="1"/>
  <c r="G191" i="1"/>
  <c r="F191" i="1"/>
  <c r="E191" i="1"/>
  <c r="B191" i="1"/>
  <c r="A191" i="1"/>
  <c r="J190" i="1"/>
  <c r="I190" i="1"/>
  <c r="H190" i="1"/>
  <c r="D190" i="1" s="1"/>
  <c r="G190" i="1"/>
  <c r="F190" i="1"/>
  <c r="E190" i="1"/>
  <c r="B190" i="1"/>
  <c r="A190" i="1"/>
  <c r="J189" i="1"/>
  <c r="I189" i="1"/>
  <c r="H189" i="1"/>
  <c r="D189" i="1" s="1"/>
  <c r="G189" i="1"/>
  <c r="F189" i="1"/>
  <c r="E189" i="1"/>
  <c r="B189" i="1"/>
  <c r="A189" i="1"/>
  <c r="J188" i="1"/>
  <c r="I188" i="1"/>
  <c r="H188" i="1"/>
  <c r="D188" i="1" s="1"/>
  <c r="G188" i="1"/>
  <c r="F188" i="1"/>
  <c r="E188" i="1"/>
  <c r="B188" i="1"/>
  <c r="A188" i="1"/>
  <c r="J187" i="1"/>
  <c r="I187" i="1"/>
  <c r="H187" i="1"/>
  <c r="D187" i="1" s="1"/>
  <c r="G187" i="1"/>
  <c r="F187" i="1"/>
  <c r="E187" i="1"/>
  <c r="B187" i="1"/>
  <c r="A187" i="1"/>
  <c r="J186" i="1"/>
  <c r="I186" i="1"/>
  <c r="H186" i="1"/>
  <c r="D186" i="1" s="1"/>
  <c r="G186" i="1"/>
  <c r="F186" i="1"/>
  <c r="E186" i="1"/>
  <c r="B186" i="1"/>
  <c r="A186" i="1"/>
  <c r="J185" i="1"/>
  <c r="I185" i="1"/>
  <c r="H185" i="1"/>
  <c r="D185" i="1" s="1"/>
  <c r="G185" i="1"/>
  <c r="F185" i="1"/>
  <c r="E185" i="1"/>
  <c r="B185" i="1"/>
  <c r="A185" i="1"/>
  <c r="J184" i="1"/>
  <c r="I184" i="1"/>
  <c r="H184" i="1"/>
  <c r="D184" i="1" s="1"/>
  <c r="G184" i="1"/>
  <c r="F184" i="1"/>
  <c r="E184" i="1"/>
  <c r="B184" i="1"/>
  <c r="A184" i="1"/>
  <c r="J183" i="1"/>
  <c r="I183" i="1"/>
  <c r="H183" i="1"/>
  <c r="D183" i="1" s="1"/>
  <c r="G183" i="1"/>
  <c r="F183" i="1"/>
  <c r="E183" i="1"/>
  <c r="B183" i="1"/>
  <c r="A183" i="1"/>
  <c r="J182" i="1"/>
  <c r="I182" i="1"/>
  <c r="H182" i="1"/>
  <c r="D182" i="1" s="1"/>
  <c r="G182" i="1"/>
  <c r="F182" i="1"/>
  <c r="E182" i="1"/>
  <c r="B182" i="1"/>
  <c r="A182" i="1"/>
  <c r="J181" i="1"/>
  <c r="I181" i="1"/>
  <c r="H181" i="1"/>
  <c r="D181" i="1" s="1"/>
  <c r="G181" i="1"/>
  <c r="F181" i="1"/>
  <c r="E181" i="1"/>
  <c r="B181" i="1"/>
  <c r="A181" i="1"/>
  <c r="J180" i="1"/>
  <c r="I180" i="1"/>
  <c r="H180" i="1"/>
  <c r="D180" i="1" s="1"/>
  <c r="G180" i="1"/>
  <c r="F180" i="1"/>
  <c r="E180" i="1"/>
  <c r="B180" i="1"/>
  <c r="A180" i="1"/>
  <c r="J179" i="1"/>
  <c r="I179" i="1"/>
  <c r="H179" i="1"/>
  <c r="D179" i="1" s="1"/>
  <c r="G179" i="1"/>
  <c r="F179" i="1"/>
  <c r="E179" i="1"/>
  <c r="B179" i="1"/>
  <c r="A179" i="1"/>
  <c r="J178" i="1"/>
  <c r="I178" i="1"/>
  <c r="H178" i="1"/>
  <c r="D178" i="1" s="1"/>
  <c r="G178" i="1"/>
  <c r="F178" i="1"/>
  <c r="E178" i="1"/>
  <c r="B178" i="1"/>
  <c r="A178" i="1"/>
  <c r="J177" i="1"/>
  <c r="I177" i="1"/>
  <c r="H177" i="1"/>
  <c r="D177" i="1" s="1"/>
  <c r="G177" i="1"/>
  <c r="F177" i="1"/>
  <c r="E177" i="1"/>
  <c r="B177" i="1"/>
  <c r="A177" i="1"/>
  <c r="J176" i="1"/>
  <c r="I176" i="1"/>
  <c r="H176" i="1"/>
  <c r="D176" i="1" s="1"/>
  <c r="G176" i="1"/>
  <c r="F176" i="1"/>
  <c r="E176" i="1"/>
  <c r="B176" i="1"/>
  <c r="A176" i="1"/>
  <c r="J175" i="1"/>
  <c r="I175" i="1"/>
  <c r="H175" i="1"/>
  <c r="D175" i="1" s="1"/>
  <c r="G175" i="1"/>
  <c r="F175" i="1"/>
  <c r="E175" i="1"/>
  <c r="B175" i="1"/>
  <c r="A175" i="1"/>
  <c r="J174" i="1"/>
  <c r="I174" i="1"/>
  <c r="H174" i="1"/>
  <c r="D174" i="1" s="1"/>
  <c r="G174" i="1"/>
  <c r="F174" i="1"/>
  <c r="E174" i="1"/>
  <c r="B174" i="1"/>
  <c r="A174" i="1"/>
  <c r="J173" i="1"/>
  <c r="I173" i="1"/>
  <c r="H173" i="1"/>
  <c r="D173" i="1" s="1"/>
  <c r="G173" i="1"/>
  <c r="F173" i="1"/>
  <c r="E173" i="1"/>
  <c r="B173" i="1"/>
  <c r="A173" i="1"/>
  <c r="J172" i="1"/>
  <c r="I172" i="1"/>
  <c r="H172" i="1"/>
  <c r="D172" i="1" s="1"/>
  <c r="G172" i="1"/>
  <c r="F172" i="1"/>
  <c r="E172" i="1"/>
  <c r="B172" i="1"/>
  <c r="A172" i="1"/>
  <c r="J171" i="1"/>
  <c r="I171" i="1"/>
  <c r="H171" i="1"/>
  <c r="D171" i="1" s="1"/>
  <c r="G171" i="1"/>
  <c r="F171" i="1"/>
  <c r="E171" i="1"/>
  <c r="B171" i="1"/>
  <c r="A171" i="1"/>
  <c r="J170" i="1"/>
  <c r="I170" i="1"/>
  <c r="H170" i="1"/>
  <c r="D170" i="1" s="1"/>
  <c r="G170" i="1"/>
  <c r="F170" i="1"/>
  <c r="E170" i="1"/>
  <c r="B170" i="1"/>
  <c r="A170" i="1"/>
  <c r="J169" i="1"/>
  <c r="I169" i="1"/>
  <c r="H169" i="1"/>
  <c r="D169" i="1" s="1"/>
  <c r="G169" i="1"/>
  <c r="F169" i="1"/>
  <c r="E169" i="1"/>
  <c r="B169" i="1"/>
  <c r="A169" i="1"/>
  <c r="J168" i="1"/>
  <c r="I168" i="1"/>
  <c r="H168" i="1"/>
  <c r="D168" i="1" s="1"/>
  <c r="G168" i="1"/>
  <c r="F168" i="1"/>
  <c r="E168" i="1"/>
  <c r="B168" i="1"/>
  <c r="A168" i="1"/>
  <c r="J167" i="1"/>
  <c r="I167" i="1"/>
  <c r="H167" i="1"/>
  <c r="D167" i="1" s="1"/>
  <c r="G167" i="1"/>
  <c r="F167" i="1"/>
  <c r="E167" i="1"/>
  <c r="B167" i="1"/>
  <c r="A167" i="1"/>
  <c r="J166" i="1"/>
  <c r="I166" i="1"/>
  <c r="H166" i="1"/>
  <c r="D166" i="1" s="1"/>
  <c r="G166" i="1"/>
  <c r="F166" i="1"/>
  <c r="E166" i="1"/>
  <c r="B166" i="1"/>
  <c r="A166" i="1"/>
  <c r="J165" i="1"/>
  <c r="I165" i="1"/>
  <c r="H165" i="1"/>
  <c r="D165" i="1" s="1"/>
  <c r="G165" i="1"/>
  <c r="F165" i="1"/>
  <c r="E165" i="1"/>
  <c r="B165" i="1"/>
  <c r="A165" i="1"/>
  <c r="J164" i="1"/>
  <c r="I164" i="1"/>
  <c r="H164" i="1"/>
  <c r="D164" i="1" s="1"/>
  <c r="G164" i="1"/>
  <c r="F164" i="1"/>
  <c r="E164" i="1"/>
  <c r="B164" i="1"/>
  <c r="A164" i="1"/>
  <c r="J163" i="1"/>
  <c r="I163" i="1"/>
  <c r="H163" i="1"/>
  <c r="D163" i="1" s="1"/>
  <c r="G163" i="1"/>
  <c r="F163" i="1"/>
  <c r="E163" i="1"/>
  <c r="B163" i="1"/>
  <c r="A163" i="1"/>
  <c r="J162" i="1"/>
  <c r="I162" i="1"/>
  <c r="H162" i="1"/>
  <c r="D162" i="1" s="1"/>
  <c r="G162" i="1"/>
  <c r="F162" i="1"/>
  <c r="E162" i="1"/>
  <c r="B162" i="1"/>
  <c r="A162" i="1"/>
  <c r="J161" i="1"/>
  <c r="I161" i="1"/>
  <c r="H161" i="1"/>
  <c r="D161" i="1" s="1"/>
  <c r="G161" i="1"/>
  <c r="F161" i="1"/>
  <c r="E161" i="1"/>
  <c r="B161" i="1"/>
  <c r="A161" i="1"/>
  <c r="J160" i="1"/>
  <c r="I160" i="1"/>
  <c r="H160" i="1"/>
  <c r="D160" i="1" s="1"/>
  <c r="G160" i="1"/>
  <c r="F160" i="1"/>
  <c r="E160" i="1"/>
  <c r="B160" i="1"/>
  <c r="A160" i="1"/>
  <c r="J159" i="1"/>
  <c r="I159" i="1"/>
  <c r="H159" i="1"/>
  <c r="D159" i="1" s="1"/>
  <c r="G159" i="1"/>
  <c r="F159" i="1"/>
  <c r="E159" i="1"/>
  <c r="B159" i="1"/>
  <c r="A159" i="1"/>
  <c r="J158" i="1"/>
  <c r="I158" i="1"/>
  <c r="H158" i="1"/>
  <c r="D158" i="1" s="1"/>
  <c r="G158" i="1"/>
  <c r="F158" i="1"/>
  <c r="E158" i="1"/>
  <c r="B158" i="1"/>
  <c r="A158" i="1"/>
  <c r="J157" i="1"/>
  <c r="I157" i="1"/>
  <c r="H157" i="1"/>
  <c r="D157" i="1" s="1"/>
  <c r="G157" i="1"/>
  <c r="F157" i="1"/>
  <c r="E157" i="1"/>
  <c r="B157" i="1"/>
  <c r="A157" i="1"/>
  <c r="J156" i="1"/>
  <c r="I156" i="1"/>
  <c r="H156" i="1"/>
  <c r="D156" i="1" s="1"/>
  <c r="G156" i="1"/>
  <c r="F156" i="1"/>
  <c r="E156" i="1"/>
  <c r="B156" i="1"/>
  <c r="A156" i="1"/>
  <c r="J155" i="1"/>
  <c r="I155" i="1"/>
  <c r="H155" i="1"/>
  <c r="D155" i="1" s="1"/>
  <c r="G155" i="1"/>
  <c r="F155" i="1"/>
  <c r="E155" i="1"/>
  <c r="B155" i="1"/>
  <c r="A155" i="1"/>
  <c r="J154" i="1"/>
  <c r="I154" i="1"/>
  <c r="H154" i="1"/>
  <c r="D154" i="1" s="1"/>
  <c r="G154" i="1"/>
  <c r="F154" i="1"/>
  <c r="E154" i="1"/>
  <c r="B154" i="1"/>
  <c r="A154" i="1"/>
  <c r="J153" i="1"/>
  <c r="I153" i="1"/>
  <c r="H153" i="1"/>
  <c r="D153" i="1" s="1"/>
  <c r="G153" i="1"/>
  <c r="F153" i="1"/>
  <c r="E153" i="1"/>
  <c r="B153" i="1"/>
  <c r="A153" i="1"/>
  <c r="J152" i="1"/>
  <c r="I152" i="1"/>
  <c r="H152" i="1"/>
  <c r="D152" i="1" s="1"/>
  <c r="G152" i="1"/>
  <c r="F152" i="1"/>
  <c r="E152" i="1"/>
  <c r="B152" i="1"/>
  <c r="A152" i="1"/>
  <c r="J151" i="1"/>
  <c r="I151" i="1"/>
  <c r="H151" i="1"/>
  <c r="D151" i="1" s="1"/>
  <c r="G151" i="1"/>
  <c r="F151" i="1"/>
  <c r="E151" i="1"/>
  <c r="B151" i="1"/>
  <c r="A151" i="1"/>
  <c r="J150" i="1"/>
  <c r="I150" i="1"/>
  <c r="H150" i="1"/>
  <c r="D150" i="1" s="1"/>
  <c r="G150" i="1"/>
  <c r="F150" i="1"/>
  <c r="E150" i="1"/>
  <c r="B150" i="1"/>
  <c r="A150" i="1"/>
  <c r="J149" i="1"/>
  <c r="I149" i="1"/>
  <c r="H149" i="1"/>
  <c r="D149" i="1" s="1"/>
  <c r="G149" i="1"/>
  <c r="F149" i="1"/>
  <c r="E149" i="1"/>
  <c r="B149" i="1"/>
  <c r="A149" i="1"/>
  <c r="J148" i="1"/>
  <c r="I148" i="1"/>
  <c r="H148" i="1"/>
  <c r="D148" i="1" s="1"/>
  <c r="G148" i="1"/>
  <c r="F148" i="1"/>
  <c r="E148" i="1"/>
  <c r="B148" i="1"/>
  <c r="A148" i="1"/>
  <c r="J147" i="1"/>
  <c r="I147" i="1"/>
  <c r="H147" i="1"/>
  <c r="D147" i="1" s="1"/>
  <c r="G147" i="1"/>
  <c r="F147" i="1"/>
  <c r="E147" i="1"/>
  <c r="B147" i="1"/>
  <c r="A147" i="1"/>
  <c r="J146" i="1"/>
  <c r="I146" i="1"/>
  <c r="H146" i="1"/>
  <c r="D146" i="1" s="1"/>
  <c r="G146" i="1"/>
  <c r="F146" i="1"/>
  <c r="E146" i="1"/>
  <c r="B146" i="1"/>
  <c r="A146" i="1"/>
  <c r="J145" i="1"/>
  <c r="I145" i="1"/>
  <c r="H145" i="1"/>
  <c r="D145" i="1" s="1"/>
  <c r="G145" i="1"/>
  <c r="F145" i="1"/>
  <c r="E145" i="1"/>
  <c r="B145" i="1"/>
  <c r="A145" i="1"/>
  <c r="J144" i="1"/>
  <c r="I144" i="1"/>
  <c r="H144" i="1"/>
  <c r="D144" i="1" s="1"/>
  <c r="G144" i="1"/>
  <c r="F144" i="1"/>
  <c r="E144" i="1"/>
  <c r="B144" i="1"/>
  <c r="A144" i="1"/>
  <c r="J143" i="1"/>
  <c r="I143" i="1"/>
  <c r="H143" i="1"/>
  <c r="D143" i="1" s="1"/>
  <c r="G143" i="1"/>
  <c r="F143" i="1"/>
  <c r="E143" i="1"/>
  <c r="B143" i="1"/>
  <c r="A143" i="1"/>
  <c r="J142" i="1"/>
  <c r="I142" i="1"/>
  <c r="H142" i="1"/>
  <c r="D142" i="1" s="1"/>
  <c r="G142" i="1"/>
  <c r="F142" i="1"/>
  <c r="E142" i="1"/>
  <c r="B142" i="1"/>
  <c r="A142" i="1"/>
  <c r="J141" i="1"/>
  <c r="I141" i="1"/>
  <c r="H141" i="1"/>
  <c r="D141" i="1" s="1"/>
  <c r="G141" i="1"/>
  <c r="F141" i="1"/>
  <c r="E141" i="1"/>
  <c r="B141" i="1"/>
  <c r="A141" i="1"/>
  <c r="J140" i="1"/>
  <c r="I140" i="1"/>
  <c r="H140" i="1"/>
  <c r="D140" i="1" s="1"/>
  <c r="G140" i="1"/>
  <c r="F140" i="1"/>
  <c r="E140" i="1"/>
  <c r="B140" i="1"/>
  <c r="A140" i="1"/>
  <c r="J139" i="1"/>
  <c r="I139" i="1"/>
  <c r="H139" i="1"/>
  <c r="D139" i="1" s="1"/>
  <c r="G139" i="1"/>
  <c r="F139" i="1"/>
  <c r="E139" i="1"/>
  <c r="B139" i="1"/>
  <c r="A139" i="1"/>
  <c r="J138" i="1"/>
  <c r="I138" i="1"/>
  <c r="H138" i="1"/>
  <c r="D138" i="1" s="1"/>
  <c r="G138" i="1"/>
  <c r="F138" i="1"/>
  <c r="E138" i="1"/>
  <c r="B138" i="1"/>
  <c r="A138" i="1"/>
  <c r="J137" i="1"/>
  <c r="I137" i="1"/>
  <c r="H137" i="1"/>
  <c r="D137" i="1" s="1"/>
  <c r="G137" i="1"/>
  <c r="F137" i="1"/>
  <c r="E137" i="1"/>
  <c r="B137" i="1"/>
  <c r="A137" i="1"/>
  <c r="J136" i="1"/>
  <c r="I136" i="1"/>
  <c r="H136" i="1"/>
  <c r="D136" i="1" s="1"/>
  <c r="G136" i="1"/>
  <c r="F136" i="1"/>
  <c r="E136" i="1"/>
  <c r="B136" i="1"/>
  <c r="A136" i="1"/>
  <c r="J135" i="1"/>
  <c r="I135" i="1"/>
  <c r="H135" i="1"/>
  <c r="D135" i="1" s="1"/>
  <c r="G135" i="1"/>
  <c r="F135" i="1"/>
  <c r="E135" i="1"/>
  <c r="B135" i="1"/>
  <c r="A135" i="1"/>
  <c r="J134" i="1"/>
  <c r="I134" i="1"/>
  <c r="H134" i="1"/>
  <c r="D134" i="1" s="1"/>
  <c r="G134" i="1"/>
  <c r="F134" i="1"/>
  <c r="E134" i="1"/>
  <c r="B134" i="1"/>
  <c r="A134" i="1"/>
  <c r="J133" i="1"/>
  <c r="I133" i="1"/>
  <c r="H133" i="1"/>
  <c r="D133" i="1" s="1"/>
  <c r="G133" i="1"/>
  <c r="F133" i="1"/>
  <c r="E133" i="1"/>
  <c r="B133" i="1"/>
  <c r="A133" i="1"/>
  <c r="J132" i="1"/>
  <c r="I132" i="1"/>
  <c r="H132" i="1"/>
  <c r="D132" i="1" s="1"/>
  <c r="G132" i="1"/>
  <c r="F132" i="1"/>
  <c r="E132" i="1"/>
  <c r="B132" i="1"/>
  <c r="A132" i="1"/>
  <c r="J131" i="1"/>
  <c r="I131" i="1"/>
  <c r="H131" i="1"/>
  <c r="D131" i="1" s="1"/>
  <c r="G131" i="1"/>
  <c r="F131" i="1"/>
  <c r="E131" i="1"/>
  <c r="B131" i="1"/>
  <c r="A131" i="1"/>
  <c r="J130" i="1"/>
  <c r="I130" i="1"/>
  <c r="H130" i="1"/>
  <c r="D130" i="1" s="1"/>
  <c r="G130" i="1"/>
  <c r="F130" i="1"/>
  <c r="E130" i="1"/>
  <c r="B130" i="1"/>
  <c r="A130" i="1"/>
  <c r="J129" i="1"/>
  <c r="I129" i="1"/>
  <c r="H129" i="1"/>
  <c r="D129" i="1" s="1"/>
  <c r="G129" i="1"/>
  <c r="F129" i="1"/>
  <c r="E129" i="1"/>
  <c r="B129" i="1"/>
  <c r="A129" i="1"/>
  <c r="J128" i="1"/>
  <c r="I128" i="1"/>
  <c r="H128" i="1"/>
  <c r="D128" i="1" s="1"/>
  <c r="G128" i="1"/>
  <c r="F128" i="1"/>
  <c r="E128" i="1"/>
  <c r="B128" i="1"/>
  <c r="A128" i="1"/>
  <c r="J127" i="1"/>
  <c r="I127" i="1"/>
  <c r="H127" i="1"/>
  <c r="D127" i="1" s="1"/>
  <c r="G127" i="1"/>
  <c r="F127" i="1"/>
  <c r="E127" i="1"/>
  <c r="B127" i="1"/>
  <c r="A127" i="1"/>
  <c r="J126" i="1"/>
  <c r="I126" i="1"/>
  <c r="H126" i="1"/>
  <c r="D126" i="1" s="1"/>
  <c r="G126" i="1"/>
  <c r="F126" i="1"/>
  <c r="E126" i="1"/>
  <c r="B126" i="1"/>
  <c r="A126" i="1"/>
  <c r="J125" i="1"/>
  <c r="I125" i="1"/>
  <c r="H125" i="1"/>
  <c r="D125" i="1" s="1"/>
  <c r="G125" i="1"/>
  <c r="F125" i="1"/>
  <c r="E125" i="1"/>
  <c r="B125" i="1"/>
  <c r="A125" i="1"/>
  <c r="J124" i="1"/>
  <c r="I124" i="1"/>
  <c r="H124" i="1"/>
  <c r="D124" i="1" s="1"/>
  <c r="G124" i="1"/>
  <c r="F124" i="1"/>
  <c r="E124" i="1"/>
  <c r="B124" i="1"/>
  <c r="A124" i="1"/>
  <c r="J123" i="1"/>
  <c r="I123" i="1"/>
  <c r="H123" i="1"/>
  <c r="D123" i="1" s="1"/>
  <c r="G123" i="1"/>
  <c r="F123" i="1"/>
  <c r="E123" i="1"/>
  <c r="B123" i="1"/>
  <c r="A123" i="1"/>
  <c r="J122" i="1"/>
  <c r="I122" i="1"/>
  <c r="H122" i="1"/>
  <c r="D122" i="1" s="1"/>
  <c r="G122" i="1"/>
  <c r="F122" i="1"/>
  <c r="E122" i="1"/>
  <c r="B122" i="1"/>
  <c r="A122" i="1"/>
  <c r="J121" i="1"/>
  <c r="I121" i="1"/>
  <c r="H121" i="1"/>
  <c r="D121" i="1" s="1"/>
  <c r="G121" i="1"/>
  <c r="F121" i="1"/>
  <c r="E121" i="1"/>
  <c r="B121" i="1"/>
  <c r="A121" i="1"/>
  <c r="J120" i="1"/>
  <c r="I120" i="1"/>
  <c r="H120" i="1"/>
  <c r="D120" i="1" s="1"/>
  <c r="G120" i="1"/>
  <c r="F120" i="1"/>
  <c r="E120" i="1"/>
  <c r="B120" i="1"/>
  <c r="A120" i="1"/>
  <c r="J119" i="1"/>
  <c r="I119" i="1"/>
  <c r="H119" i="1"/>
  <c r="D119" i="1" s="1"/>
  <c r="G119" i="1"/>
  <c r="F119" i="1"/>
  <c r="E119" i="1"/>
  <c r="B119" i="1"/>
  <c r="A119" i="1"/>
  <c r="J118" i="1"/>
  <c r="I118" i="1"/>
  <c r="H118" i="1"/>
  <c r="D118" i="1" s="1"/>
  <c r="G118" i="1"/>
  <c r="F118" i="1"/>
  <c r="E118" i="1"/>
  <c r="B118" i="1"/>
  <c r="A118" i="1"/>
  <c r="J117" i="1"/>
  <c r="I117" i="1"/>
  <c r="H117" i="1"/>
  <c r="D117" i="1" s="1"/>
  <c r="G117" i="1"/>
  <c r="F117" i="1"/>
  <c r="E117" i="1"/>
  <c r="B117" i="1"/>
  <c r="A117" i="1"/>
  <c r="J116" i="1"/>
  <c r="I116" i="1"/>
  <c r="H116" i="1"/>
  <c r="D116" i="1" s="1"/>
  <c r="G116" i="1"/>
  <c r="F116" i="1"/>
  <c r="E116" i="1"/>
  <c r="B116" i="1"/>
  <c r="A116" i="1"/>
  <c r="J115" i="1"/>
  <c r="I115" i="1"/>
  <c r="H115" i="1"/>
  <c r="D115" i="1" s="1"/>
  <c r="G115" i="1"/>
  <c r="F115" i="1"/>
  <c r="E115" i="1"/>
  <c r="B115" i="1"/>
  <c r="A115" i="1"/>
  <c r="J114" i="1"/>
  <c r="I114" i="1"/>
  <c r="H114" i="1"/>
  <c r="D114" i="1" s="1"/>
  <c r="G114" i="1"/>
  <c r="F114" i="1"/>
  <c r="E114" i="1"/>
  <c r="B114" i="1"/>
  <c r="A114" i="1"/>
  <c r="J113" i="1"/>
  <c r="I113" i="1"/>
  <c r="H113" i="1"/>
  <c r="D113" i="1" s="1"/>
  <c r="G113" i="1"/>
  <c r="F113" i="1"/>
  <c r="E113" i="1"/>
  <c r="B113" i="1"/>
  <c r="A113" i="1"/>
  <c r="J112" i="1"/>
  <c r="I112" i="1"/>
  <c r="H112" i="1"/>
  <c r="D112" i="1" s="1"/>
  <c r="G112" i="1"/>
  <c r="F112" i="1"/>
  <c r="E112" i="1"/>
  <c r="B112" i="1"/>
  <c r="A112" i="1"/>
  <c r="J111" i="1"/>
  <c r="I111" i="1"/>
  <c r="H111" i="1"/>
  <c r="D111" i="1" s="1"/>
  <c r="G111" i="1"/>
  <c r="F111" i="1"/>
  <c r="E111" i="1"/>
  <c r="B111" i="1"/>
  <c r="A111" i="1"/>
  <c r="J110" i="1"/>
  <c r="I110" i="1"/>
  <c r="H110" i="1"/>
  <c r="D110" i="1" s="1"/>
  <c r="G110" i="1"/>
  <c r="F110" i="1"/>
  <c r="E110" i="1"/>
  <c r="B110" i="1"/>
  <c r="A110" i="1"/>
  <c r="J109" i="1"/>
  <c r="I109" i="1"/>
  <c r="H109" i="1"/>
  <c r="D109" i="1" s="1"/>
  <c r="G109" i="1"/>
  <c r="F109" i="1"/>
  <c r="E109" i="1"/>
  <c r="B109" i="1"/>
  <c r="A109" i="1"/>
  <c r="J108" i="1"/>
  <c r="I108" i="1"/>
  <c r="H108" i="1"/>
  <c r="D108" i="1" s="1"/>
  <c r="G108" i="1"/>
  <c r="F108" i="1"/>
  <c r="E108" i="1"/>
  <c r="B108" i="1"/>
  <c r="A108" i="1"/>
  <c r="J107" i="1"/>
  <c r="I107" i="1"/>
  <c r="H107" i="1"/>
  <c r="D107" i="1" s="1"/>
  <c r="G107" i="1"/>
  <c r="F107" i="1"/>
  <c r="E107" i="1"/>
  <c r="B107" i="1"/>
  <c r="A107" i="1"/>
  <c r="J106" i="1"/>
  <c r="I106" i="1"/>
  <c r="H106" i="1"/>
  <c r="D106" i="1" s="1"/>
  <c r="G106" i="1"/>
  <c r="F106" i="1"/>
  <c r="E106" i="1"/>
  <c r="B106" i="1"/>
  <c r="A106" i="1"/>
  <c r="J105" i="1"/>
  <c r="I105" i="1"/>
  <c r="H105" i="1"/>
  <c r="D105" i="1" s="1"/>
  <c r="G105" i="1"/>
  <c r="F105" i="1"/>
  <c r="E105" i="1"/>
  <c r="B105" i="1"/>
  <c r="A105" i="1"/>
  <c r="J104" i="1"/>
  <c r="I104" i="1"/>
  <c r="H104" i="1"/>
  <c r="D104" i="1" s="1"/>
  <c r="G104" i="1"/>
  <c r="F104" i="1"/>
  <c r="E104" i="1"/>
  <c r="B104" i="1"/>
  <c r="A104" i="1"/>
  <c r="J103" i="1"/>
  <c r="I103" i="1"/>
  <c r="H103" i="1"/>
  <c r="D103" i="1" s="1"/>
  <c r="G103" i="1"/>
  <c r="F103" i="1"/>
  <c r="E103" i="1"/>
  <c r="B103" i="1"/>
  <c r="A103" i="1"/>
  <c r="J102" i="1"/>
  <c r="I102" i="1"/>
  <c r="H102" i="1"/>
  <c r="D102" i="1" s="1"/>
  <c r="G102" i="1"/>
  <c r="F102" i="1"/>
  <c r="E102" i="1"/>
  <c r="B102" i="1"/>
  <c r="A102" i="1"/>
  <c r="J101" i="1"/>
  <c r="I101" i="1"/>
  <c r="H101" i="1"/>
  <c r="D101" i="1" s="1"/>
  <c r="G101" i="1"/>
  <c r="F101" i="1"/>
  <c r="E101" i="1"/>
  <c r="B101" i="1"/>
  <c r="A101" i="1"/>
  <c r="J100" i="1"/>
  <c r="I100" i="1"/>
  <c r="H100" i="1"/>
  <c r="D100" i="1" s="1"/>
  <c r="G100" i="1"/>
  <c r="F100" i="1"/>
  <c r="E100" i="1"/>
  <c r="B100" i="1"/>
  <c r="A100" i="1"/>
  <c r="J99" i="1"/>
  <c r="I99" i="1"/>
  <c r="H99" i="1"/>
  <c r="D99" i="1" s="1"/>
  <c r="G99" i="1"/>
  <c r="F99" i="1"/>
  <c r="E99" i="1"/>
  <c r="B99" i="1"/>
  <c r="A99" i="1"/>
  <c r="J98" i="1"/>
  <c r="I98" i="1"/>
  <c r="H98" i="1"/>
  <c r="D98" i="1" s="1"/>
  <c r="G98" i="1"/>
  <c r="F98" i="1"/>
  <c r="E98" i="1"/>
  <c r="B98" i="1"/>
  <c r="A98" i="1"/>
  <c r="J97" i="1"/>
  <c r="I97" i="1"/>
  <c r="H97" i="1"/>
  <c r="D97" i="1" s="1"/>
  <c r="G97" i="1"/>
  <c r="F97" i="1"/>
  <c r="E97" i="1"/>
  <c r="B97" i="1"/>
  <c r="A97" i="1"/>
  <c r="J96" i="1"/>
  <c r="I96" i="1"/>
  <c r="H96" i="1"/>
  <c r="D96" i="1" s="1"/>
  <c r="G96" i="1"/>
  <c r="F96" i="1"/>
  <c r="E96" i="1"/>
  <c r="B96" i="1"/>
  <c r="A96" i="1"/>
  <c r="J95" i="1"/>
  <c r="I95" i="1"/>
  <c r="H95" i="1"/>
  <c r="D95" i="1" s="1"/>
  <c r="G95" i="1"/>
  <c r="F95" i="1"/>
  <c r="E95" i="1"/>
  <c r="B95" i="1"/>
  <c r="A95" i="1"/>
  <c r="J94" i="1"/>
  <c r="I94" i="1"/>
  <c r="H94" i="1"/>
  <c r="D94" i="1" s="1"/>
  <c r="G94" i="1"/>
  <c r="F94" i="1"/>
  <c r="E94" i="1"/>
  <c r="B94" i="1"/>
  <c r="A94" i="1"/>
  <c r="J93" i="1"/>
  <c r="I93" i="1"/>
  <c r="H93" i="1"/>
  <c r="D93" i="1" s="1"/>
  <c r="G93" i="1"/>
  <c r="F93" i="1"/>
  <c r="E93" i="1"/>
  <c r="B93" i="1"/>
  <c r="A93" i="1"/>
  <c r="J92" i="1"/>
  <c r="I92" i="1"/>
  <c r="H92" i="1"/>
  <c r="D92" i="1" s="1"/>
  <c r="G92" i="1"/>
  <c r="F92" i="1"/>
  <c r="E92" i="1"/>
  <c r="B92" i="1"/>
  <c r="A92" i="1"/>
  <c r="J91" i="1"/>
  <c r="I91" i="1"/>
  <c r="H91" i="1"/>
  <c r="D91" i="1" s="1"/>
  <c r="G91" i="1"/>
  <c r="F91" i="1"/>
  <c r="E91" i="1"/>
  <c r="B91" i="1"/>
  <c r="A91" i="1"/>
  <c r="J90" i="1"/>
  <c r="I90" i="1"/>
  <c r="H90" i="1"/>
  <c r="D90" i="1" s="1"/>
  <c r="G90" i="1"/>
  <c r="F90" i="1"/>
  <c r="E90" i="1"/>
  <c r="B90" i="1"/>
  <c r="A90" i="1"/>
  <c r="J89" i="1"/>
  <c r="I89" i="1"/>
  <c r="H89" i="1"/>
  <c r="D89" i="1" s="1"/>
  <c r="G89" i="1"/>
  <c r="F89" i="1"/>
  <c r="E89" i="1"/>
  <c r="B89" i="1"/>
  <c r="A89" i="1"/>
  <c r="J88" i="1"/>
  <c r="I88" i="1"/>
  <c r="H88" i="1"/>
  <c r="D88" i="1" s="1"/>
  <c r="G88" i="1"/>
  <c r="F88" i="1"/>
  <c r="E88" i="1"/>
  <c r="B88" i="1"/>
  <c r="A88" i="1"/>
  <c r="J87" i="1"/>
  <c r="I87" i="1"/>
  <c r="H87" i="1"/>
  <c r="D87" i="1" s="1"/>
  <c r="G87" i="1"/>
  <c r="F87" i="1"/>
  <c r="E87" i="1"/>
  <c r="B87" i="1"/>
  <c r="A87" i="1"/>
  <c r="J86" i="1"/>
  <c r="I86" i="1"/>
  <c r="H86" i="1"/>
  <c r="D86" i="1" s="1"/>
  <c r="G86" i="1"/>
  <c r="F86" i="1"/>
  <c r="E86" i="1"/>
  <c r="B86" i="1"/>
  <c r="A86" i="1"/>
  <c r="J85" i="1"/>
  <c r="I85" i="1"/>
  <c r="H85" i="1"/>
  <c r="D85" i="1" s="1"/>
  <c r="G85" i="1"/>
  <c r="F85" i="1"/>
  <c r="E85" i="1"/>
  <c r="B85" i="1"/>
  <c r="A85" i="1"/>
  <c r="J84" i="1"/>
  <c r="I84" i="1"/>
  <c r="H84" i="1"/>
  <c r="D84" i="1" s="1"/>
  <c r="G84" i="1"/>
  <c r="F84" i="1"/>
  <c r="E84" i="1"/>
  <c r="B84" i="1"/>
  <c r="A84" i="1"/>
  <c r="J83" i="1"/>
  <c r="I83" i="1"/>
  <c r="H83" i="1"/>
  <c r="D83" i="1" s="1"/>
  <c r="G83" i="1"/>
  <c r="F83" i="1"/>
  <c r="E83" i="1"/>
  <c r="B83" i="1"/>
  <c r="A83" i="1"/>
  <c r="J82" i="1"/>
  <c r="I82" i="1"/>
  <c r="H82" i="1"/>
  <c r="D82" i="1" s="1"/>
  <c r="G82" i="1"/>
  <c r="F82" i="1"/>
  <c r="E82" i="1"/>
  <c r="B82" i="1"/>
  <c r="A82" i="1"/>
  <c r="J81" i="1"/>
  <c r="I81" i="1"/>
  <c r="H81" i="1"/>
  <c r="D81" i="1" s="1"/>
  <c r="G81" i="1"/>
  <c r="F81" i="1"/>
  <c r="E81" i="1"/>
  <c r="B81" i="1"/>
  <c r="A81" i="1"/>
  <c r="J80" i="1"/>
  <c r="I80" i="1"/>
  <c r="H80" i="1"/>
  <c r="D80" i="1" s="1"/>
  <c r="G80" i="1"/>
  <c r="F80" i="1"/>
  <c r="E80" i="1"/>
  <c r="B80" i="1"/>
  <c r="A80" i="1"/>
  <c r="J79" i="1"/>
  <c r="I79" i="1"/>
  <c r="H79" i="1"/>
  <c r="D79" i="1" s="1"/>
  <c r="G79" i="1"/>
  <c r="F79" i="1"/>
  <c r="E79" i="1"/>
  <c r="B79" i="1"/>
  <c r="A79" i="1"/>
  <c r="J78" i="1"/>
  <c r="I78" i="1"/>
  <c r="H78" i="1"/>
  <c r="D78" i="1" s="1"/>
  <c r="G78" i="1"/>
  <c r="F78" i="1"/>
  <c r="E78" i="1"/>
  <c r="B78" i="1"/>
  <c r="A78" i="1"/>
  <c r="J77" i="1"/>
  <c r="I77" i="1"/>
  <c r="H77" i="1"/>
  <c r="D77" i="1" s="1"/>
  <c r="G77" i="1"/>
  <c r="F77" i="1"/>
  <c r="E77" i="1"/>
  <c r="B77" i="1"/>
  <c r="A77" i="1"/>
  <c r="J76" i="1"/>
  <c r="I76" i="1"/>
  <c r="H76" i="1"/>
  <c r="D76" i="1" s="1"/>
  <c r="G76" i="1"/>
  <c r="F76" i="1"/>
  <c r="E76" i="1"/>
  <c r="B76" i="1"/>
  <c r="A76" i="1"/>
  <c r="J75" i="1"/>
  <c r="I75" i="1"/>
  <c r="H75" i="1"/>
  <c r="D75" i="1" s="1"/>
  <c r="G75" i="1"/>
  <c r="F75" i="1"/>
  <c r="E75" i="1"/>
  <c r="B75" i="1"/>
  <c r="A75" i="1"/>
  <c r="J74" i="1"/>
  <c r="I74" i="1"/>
  <c r="H74" i="1"/>
  <c r="D74" i="1" s="1"/>
  <c r="G74" i="1"/>
  <c r="F74" i="1"/>
  <c r="E74" i="1"/>
  <c r="B74" i="1"/>
  <c r="A74" i="1"/>
  <c r="J73" i="1"/>
  <c r="I73" i="1"/>
  <c r="H73" i="1"/>
  <c r="D73" i="1" s="1"/>
  <c r="G73" i="1"/>
  <c r="F73" i="1"/>
  <c r="E73" i="1"/>
  <c r="B73" i="1"/>
  <c r="A73" i="1"/>
  <c r="J72" i="1"/>
  <c r="I72" i="1"/>
  <c r="H72" i="1"/>
  <c r="D72" i="1" s="1"/>
  <c r="G72" i="1"/>
  <c r="F72" i="1"/>
  <c r="E72" i="1"/>
  <c r="B72" i="1"/>
  <c r="A72" i="1"/>
  <c r="J71" i="1"/>
  <c r="I71" i="1"/>
  <c r="H71" i="1"/>
  <c r="D71" i="1" s="1"/>
  <c r="G71" i="1"/>
  <c r="F71" i="1"/>
  <c r="E71" i="1"/>
  <c r="B71" i="1"/>
  <c r="A71" i="1"/>
  <c r="J70" i="1"/>
  <c r="I70" i="1"/>
  <c r="H70" i="1"/>
  <c r="D70" i="1" s="1"/>
  <c r="G70" i="1"/>
  <c r="F70" i="1"/>
  <c r="E70" i="1"/>
  <c r="B70" i="1"/>
  <c r="A70" i="1"/>
  <c r="J69" i="1"/>
  <c r="I69" i="1"/>
  <c r="H69" i="1"/>
  <c r="D69" i="1" s="1"/>
  <c r="G69" i="1"/>
  <c r="F69" i="1"/>
  <c r="E69" i="1"/>
  <c r="B69" i="1"/>
  <c r="A69" i="1"/>
  <c r="J68" i="1"/>
  <c r="I68" i="1"/>
  <c r="H68" i="1"/>
  <c r="D68" i="1" s="1"/>
  <c r="G68" i="1"/>
  <c r="F68" i="1"/>
  <c r="E68" i="1"/>
  <c r="B68" i="1"/>
  <c r="A68" i="1"/>
  <c r="J67" i="1"/>
  <c r="I67" i="1"/>
  <c r="H67" i="1"/>
  <c r="D67" i="1" s="1"/>
  <c r="G67" i="1"/>
  <c r="F67" i="1"/>
  <c r="E67" i="1"/>
  <c r="B67" i="1"/>
  <c r="A67" i="1"/>
  <c r="J66" i="1"/>
  <c r="I66" i="1"/>
  <c r="H66" i="1"/>
  <c r="D66" i="1" s="1"/>
  <c r="G66" i="1"/>
  <c r="F66" i="1"/>
  <c r="E66" i="1"/>
  <c r="B66" i="1"/>
  <c r="A66" i="1"/>
  <c r="J65" i="1"/>
  <c r="I65" i="1"/>
  <c r="H65" i="1"/>
  <c r="D65" i="1" s="1"/>
  <c r="G65" i="1"/>
  <c r="F65" i="1"/>
  <c r="E65" i="1"/>
  <c r="B65" i="1"/>
  <c r="A65" i="1"/>
  <c r="J64" i="1"/>
  <c r="I64" i="1"/>
  <c r="H64" i="1"/>
  <c r="D64" i="1" s="1"/>
  <c r="G64" i="1"/>
  <c r="F64" i="1"/>
  <c r="E64" i="1"/>
  <c r="B64" i="1"/>
  <c r="A64" i="1"/>
  <c r="J63" i="1"/>
  <c r="I63" i="1"/>
  <c r="H63" i="1"/>
  <c r="D63" i="1" s="1"/>
  <c r="G63" i="1"/>
  <c r="F63" i="1"/>
  <c r="E63" i="1"/>
  <c r="B63" i="1"/>
  <c r="A63" i="1"/>
  <c r="J62" i="1"/>
  <c r="I62" i="1"/>
  <c r="H62" i="1"/>
  <c r="D62" i="1" s="1"/>
  <c r="G62" i="1"/>
  <c r="F62" i="1"/>
  <c r="E62" i="1"/>
  <c r="B62" i="1"/>
  <c r="A62" i="1"/>
  <c r="J61" i="1"/>
  <c r="I61" i="1"/>
  <c r="H61" i="1"/>
  <c r="D61" i="1" s="1"/>
  <c r="G61" i="1"/>
  <c r="F61" i="1"/>
  <c r="E61" i="1"/>
  <c r="B61" i="1"/>
  <c r="A61" i="1"/>
  <c r="J60" i="1"/>
  <c r="I60" i="1"/>
  <c r="H60" i="1"/>
  <c r="D60" i="1" s="1"/>
  <c r="G60" i="1"/>
  <c r="F60" i="1"/>
  <c r="E60" i="1"/>
  <c r="B60" i="1"/>
  <c r="A60" i="1"/>
  <c r="J59" i="1"/>
  <c r="I59" i="1"/>
  <c r="H59" i="1"/>
  <c r="D59" i="1" s="1"/>
  <c r="G59" i="1"/>
  <c r="F59" i="1"/>
  <c r="E59" i="1"/>
  <c r="B59" i="1"/>
  <c r="A59" i="1"/>
  <c r="J58" i="1"/>
  <c r="I58" i="1"/>
  <c r="H58" i="1"/>
  <c r="D58" i="1" s="1"/>
  <c r="G58" i="1"/>
  <c r="F58" i="1"/>
  <c r="E58" i="1"/>
  <c r="B58" i="1"/>
  <c r="A58" i="1"/>
  <c r="J57" i="1"/>
  <c r="I57" i="1"/>
  <c r="H57" i="1"/>
  <c r="D57" i="1" s="1"/>
  <c r="G57" i="1"/>
  <c r="F57" i="1"/>
  <c r="E57" i="1"/>
  <c r="B57" i="1"/>
  <c r="A57" i="1"/>
  <c r="J56" i="1"/>
  <c r="I56" i="1"/>
  <c r="H56" i="1"/>
  <c r="D56" i="1" s="1"/>
  <c r="G56" i="1"/>
  <c r="F56" i="1"/>
  <c r="E56" i="1"/>
  <c r="B56" i="1"/>
  <c r="A56" i="1"/>
  <c r="J55" i="1"/>
  <c r="I55" i="1"/>
  <c r="H55" i="1"/>
  <c r="D55" i="1" s="1"/>
  <c r="G55" i="1"/>
  <c r="F55" i="1"/>
  <c r="E55" i="1"/>
  <c r="B55" i="1"/>
  <c r="A55" i="1"/>
  <c r="J54" i="1"/>
  <c r="I54" i="1"/>
  <c r="H54" i="1"/>
  <c r="D54" i="1" s="1"/>
  <c r="G54" i="1"/>
  <c r="F54" i="1"/>
  <c r="E54" i="1"/>
  <c r="B54" i="1"/>
  <c r="A54" i="1"/>
  <c r="J53" i="1"/>
  <c r="I53" i="1"/>
  <c r="H53" i="1"/>
  <c r="D53" i="1" s="1"/>
  <c r="G53" i="1"/>
  <c r="F53" i="1"/>
  <c r="E53" i="1"/>
  <c r="B53" i="1"/>
  <c r="A53" i="1"/>
  <c r="J52" i="1"/>
  <c r="I52" i="1"/>
  <c r="H52" i="1"/>
  <c r="D52" i="1" s="1"/>
  <c r="G52" i="1"/>
  <c r="F52" i="1"/>
  <c r="E52" i="1"/>
  <c r="B52" i="1"/>
  <c r="A52" i="1"/>
  <c r="J51" i="1"/>
  <c r="I51" i="1"/>
  <c r="H51" i="1"/>
  <c r="D51" i="1" s="1"/>
  <c r="G51" i="1"/>
  <c r="F51" i="1"/>
  <c r="E51" i="1"/>
  <c r="B51" i="1"/>
  <c r="A51" i="1"/>
  <c r="J50" i="1"/>
  <c r="I50" i="1"/>
  <c r="H50" i="1"/>
  <c r="D50" i="1" s="1"/>
  <c r="G50" i="1"/>
  <c r="F50" i="1"/>
  <c r="E50" i="1"/>
  <c r="B50" i="1"/>
  <c r="A50" i="1"/>
  <c r="J49" i="1"/>
  <c r="I49" i="1"/>
  <c r="H49" i="1"/>
  <c r="D49" i="1" s="1"/>
  <c r="G49" i="1"/>
  <c r="F49" i="1"/>
  <c r="E49" i="1"/>
  <c r="B49" i="1"/>
  <c r="A49" i="1"/>
  <c r="J48" i="1"/>
  <c r="I48" i="1"/>
  <c r="H48" i="1"/>
  <c r="D48" i="1" s="1"/>
  <c r="G48" i="1"/>
  <c r="F48" i="1"/>
  <c r="E48" i="1"/>
  <c r="B48" i="1"/>
  <c r="A48" i="1"/>
  <c r="J47" i="1"/>
  <c r="I47" i="1"/>
  <c r="H47" i="1"/>
  <c r="D47" i="1" s="1"/>
  <c r="G47" i="1"/>
  <c r="F47" i="1"/>
  <c r="E47" i="1"/>
  <c r="B47" i="1"/>
  <c r="A47" i="1"/>
  <c r="J46" i="1"/>
  <c r="I46" i="1"/>
  <c r="H46" i="1"/>
  <c r="D46" i="1" s="1"/>
  <c r="G46" i="1"/>
  <c r="F46" i="1"/>
  <c r="E46" i="1"/>
  <c r="B46" i="1"/>
  <c r="A46" i="1"/>
  <c r="J45" i="1"/>
  <c r="I45" i="1"/>
  <c r="H45" i="1"/>
  <c r="D45" i="1" s="1"/>
  <c r="G45" i="1"/>
  <c r="F45" i="1"/>
  <c r="E45" i="1"/>
  <c r="B45" i="1"/>
  <c r="A45" i="1"/>
  <c r="J44" i="1"/>
  <c r="I44" i="1"/>
  <c r="H44" i="1"/>
  <c r="D44" i="1" s="1"/>
  <c r="G44" i="1"/>
  <c r="F44" i="1"/>
  <c r="E44" i="1"/>
  <c r="B44" i="1"/>
  <c r="A44" i="1"/>
  <c r="J43" i="1"/>
  <c r="I43" i="1"/>
  <c r="H43" i="1"/>
  <c r="D43" i="1" s="1"/>
  <c r="G43" i="1"/>
  <c r="F43" i="1"/>
  <c r="E43" i="1"/>
  <c r="B43" i="1"/>
  <c r="A43" i="1"/>
  <c r="J42" i="1"/>
  <c r="I42" i="1"/>
  <c r="H42" i="1"/>
  <c r="D42" i="1" s="1"/>
  <c r="G42" i="1"/>
  <c r="F42" i="1"/>
  <c r="E42" i="1"/>
  <c r="B42" i="1"/>
  <c r="A42" i="1"/>
  <c r="J41" i="1"/>
  <c r="I41" i="1"/>
  <c r="H41" i="1"/>
  <c r="D41" i="1" s="1"/>
  <c r="G41" i="1"/>
  <c r="F41" i="1"/>
  <c r="E41" i="1"/>
  <c r="B41" i="1"/>
  <c r="A41" i="1"/>
  <c r="J40" i="1"/>
  <c r="I40" i="1"/>
  <c r="H40" i="1"/>
  <c r="D40" i="1" s="1"/>
  <c r="G40" i="1"/>
  <c r="F40" i="1"/>
  <c r="E40" i="1"/>
  <c r="B40" i="1"/>
  <c r="A40" i="1"/>
  <c r="J39" i="1"/>
  <c r="I39" i="1"/>
  <c r="H39" i="1"/>
  <c r="D39" i="1" s="1"/>
  <c r="G39" i="1"/>
  <c r="F39" i="1"/>
  <c r="E39" i="1"/>
  <c r="B39" i="1"/>
  <c r="A39" i="1"/>
  <c r="J38" i="1"/>
  <c r="I38" i="1"/>
  <c r="H38" i="1"/>
  <c r="D38" i="1" s="1"/>
  <c r="G38" i="1"/>
  <c r="F38" i="1"/>
  <c r="E38" i="1"/>
  <c r="B38" i="1"/>
  <c r="A38" i="1"/>
  <c r="J37" i="1"/>
  <c r="I37" i="1"/>
  <c r="H37" i="1"/>
  <c r="D37" i="1" s="1"/>
  <c r="G37" i="1"/>
  <c r="F37" i="1"/>
  <c r="E37" i="1"/>
  <c r="B37" i="1"/>
  <c r="A37" i="1"/>
  <c r="J36" i="1"/>
  <c r="I36" i="1"/>
  <c r="H36" i="1"/>
  <c r="D36" i="1" s="1"/>
  <c r="G36" i="1"/>
  <c r="F36" i="1"/>
  <c r="E36" i="1"/>
  <c r="B36" i="1"/>
  <c r="A36" i="1"/>
  <c r="J35" i="1"/>
  <c r="I35" i="1"/>
  <c r="H35" i="1"/>
  <c r="D35" i="1" s="1"/>
  <c r="G35" i="1"/>
  <c r="F35" i="1"/>
  <c r="E35" i="1"/>
  <c r="B35" i="1"/>
  <c r="A35" i="1"/>
  <c r="J34" i="1"/>
  <c r="I34" i="1"/>
  <c r="H34" i="1"/>
  <c r="D34" i="1" s="1"/>
  <c r="G34" i="1"/>
  <c r="F34" i="1"/>
  <c r="E34" i="1"/>
  <c r="B34" i="1"/>
  <c r="A34" i="1"/>
  <c r="J33" i="1"/>
  <c r="I33" i="1"/>
  <c r="H33" i="1"/>
  <c r="D33" i="1" s="1"/>
  <c r="G33" i="1"/>
  <c r="F33" i="1"/>
  <c r="E33" i="1"/>
  <c r="B33" i="1"/>
  <c r="A33" i="1"/>
  <c r="J32" i="1"/>
  <c r="I32" i="1"/>
  <c r="H32" i="1"/>
  <c r="D32" i="1" s="1"/>
  <c r="G32" i="1"/>
  <c r="F32" i="1"/>
  <c r="E32" i="1"/>
  <c r="B32" i="1"/>
  <c r="A32" i="1"/>
  <c r="J31" i="1"/>
  <c r="I31" i="1"/>
  <c r="H31" i="1"/>
  <c r="D31" i="1" s="1"/>
  <c r="G31" i="1"/>
  <c r="F31" i="1"/>
  <c r="E31" i="1"/>
  <c r="B31" i="1"/>
  <c r="A31" i="1"/>
  <c r="J30" i="1"/>
  <c r="I30" i="1"/>
  <c r="H30" i="1"/>
  <c r="D30" i="1" s="1"/>
  <c r="G30" i="1"/>
  <c r="F30" i="1"/>
  <c r="E30" i="1"/>
  <c r="B30" i="1"/>
  <c r="A30" i="1"/>
  <c r="J29" i="1"/>
  <c r="I29" i="1"/>
  <c r="H29" i="1"/>
  <c r="D29" i="1" s="1"/>
  <c r="G29" i="1"/>
  <c r="F29" i="1"/>
  <c r="E29" i="1"/>
  <c r="B29" i="1"/>
  <c r="A29" i="1"/>
  <c r="J28" i="1"/>
  <c r="I28" i="1"/>
  <c r="H28" i="1"/>
  <c r="D28" i="1" s="1"/>
  <c r="G28" i="1"/>
  <c r="F28" i="1"/>
  <c r="E28" i="1"/>
  <c r="B28" i="1"/>
  <c r="A28" i="1"/>
  <c r="J27" i="1"/>
  <c r="I27" i="1"/>
  <c r="H27" i="1"/>
  <c r="D27" i="1" s="1"/>
  <c r="G27" i="1"/>
  <c r="F27" i="1"/>
  <c r="E27" i="1"/>
  <c r="B27" i="1"/>
  <c r="A27" i="1"/>
  <c r="J26" i="1"/>
  <c r="I26" i="1"/>
  <c r="H26" i="1"/>
  <c r="D26" i="1" s="1"/>
  <c r="G26" i="1"/>
  <c r="F26" i="1"/>
  <c r="E26" i="1"/>
  <c r="B26" i="1"/>
  <c r="A26" i="1"/>
  <c r="J25" i="1"/>
  <c r="I25" i="1"/>
  <c r="H25" i="1"/>
  <c r="D25" i="1" s="1"/>
  <c r="G25" i="1"/>
  <c r="F25" i="1"/>
  <c r="E25" i="1"/>
  <c r="B25" i="1"/>
  <c r="A25" i="1"/>
  <c r="J24" i="1"/>
  <c r="I24" i="1"/>
  <c r="H24" i="1"/>
  <c r="D24" i="1" s="1"/>
  <c r="G24" i="1"/>
  <c r="F24" i="1"/>
  <c r="E24" i="1"/>
  <c r="B24" i="1"/>
  <c r="A24" i="1"/>
  <c r="J23" i="1"/>
  <c r="I23" i="1"/>
  <c r="H23" i="1"/>
  <c r="D23" i="1" s="1"/>
  <c r="G23" i="1"/>
  <c r="F23" i="1"/>
  <c r="E23" i="1"/>
  <c r="B23" i="1"/>
  <c r="A23" i="1"/>
  <c r="J22" i="1"/>
  <c r="I22" i="1"/>
  <c r="H22" i="1"/>
  <c r="D22" i="1" s="1"/>
  <c r="G22" i="1"/>
  <c r="F22" i="1"/>
  <c r="E22" i="1"/>
  <c r="B22" i="1"/>
  <c r="A22" i="1"/>
  <c r="J21" i="1"/>
  <c r="I21" i="1"/>
  <c r="H21" i="1"/>
  <c r="D21" i="1" s="1"/>
  <c r="G21" i="1"/>
  <c r="F21" i="1"/>
  <c r="E21" i="1"/>
  <c r="B21" i="1"/>
  <c r="A21" i="1"/>
  <c r="J20" i="1"/>
  <c r="I20" i="1"/>
  <c r="H20" i="1"/>
  <c r="D20" i="1" s="1"/>
  <c r="G20" i="1"/>
  <c r="F20" i="1"/>
  <c r="E20" i="1"/>
  <c r="B20" i="1"/>
  <c r="A20" i="1"/>
  <c r="J19" i="1"/>
  <c r="I19" i="1"/>
  <c r="H19" i="1"/>
  <c r="D19" i="1" s="1"/>
  <c r="G19" i="1"/>
  <c r="F19" i="1"/>
  <c r="E19" i="1"/>
  <c r="B19" i="1"/>
  <c r="A19" i="1"/>
  <c r="J18" i="1"/>
  <c r="I18" i="1"/>
  <c r="H18" i="1"/>
  <c r="D18" i="1" s="1"/>
  <c r="G18" i="1"/>
  <c r="F18" i="1"/>
  <c r="E18" i="1"/>
  <c r="B18" i="1"/>
  <c r="A18" i="1"/>
  <c r="J17" i="1"/>
  <c r="I17" i="1"/>
  <c r="H17" i="1"/>
  <c r="D17" i="1" s="1"/>
  <c r="G17" i="1"/>
  <c r="F17" i="1"/>
  <c r="E17" i="1"/>
  <c r="B17" i="1"/>
  <c r="A17" i="1"/>
  <c r="J16" i="1"/>
  <c r="I16" i="1"/>
  <c r="H16" i="1"/>
  <c r="D16" i="1" s="1"/>
  <c r="G16" i="1"/>
  <c r="F16" i="1"/>
  <c r="E16" i="1"/>
  <c r="B16" i="1"/>
  <c r="A16" i="1"/>
  <c r="J15" i="1"/>
  <c r="I15" i="1"/>
  <c r="H15" i="1"/>
  <c r="D15" i="1" s="1"/>
  <c r="G15" i="1"/>
  <c r="F15" i="1"/>
  <c r="E15" i="1"/>
  <c r="B15" i="1"/>
  <c r="A15" i="1"/>
  <c r="J14" i="1"/>
  <c r="I14" i="1"/>
  <c r="H14" i="1"/>
  <c r="D14" i="1" s="1"/>
  <c r="G14" i="1"/>
  <c r="F14" i="1"/>
  <c r="E14" i="1"/>
  <c r="B14" i="1"/>
  <c r="A14" i="1"/>
  <c r="J13" i="1"/>
  <c r="I13" i="1"/>
  <c r="H13" i="1"/>
  <c r="D13" i="1" s="1"/>
  <c r="G13" i="1"/>
  <c r="F13" i="1"/>
  <c r="E13" i="1"/>
  <c r="B13" i="1"/>
  <c r="A13" i="1"/>
  <c r="J12" i="1"/>
  <c r="I12" i="1"/>
  <c r="H12" i="1"/>
  <c r="D12" i="1" s="1"/>
  <c r="G12" i="1"/>
  <c r="F12" i="1"/>
  <c r="E12" i="1"/>
  <c r="B12" i="1"/>
  <c r="A12" i="1"/>
  <c r="J11" i="1"/>
  <c r="I11" i="1"/>
  <c r="H11" i="1"/>
  <c r="D11" i="1" s="1"/>
  <c r="G11" i="1"/>
  <c r="F11" i="1"/>
  <c r="E11" i="1"/>
  <c r="B11" i="1"/>
  <c r="A11" i="1"/>
  <c r="J10" i="1"/>
  <c r="I10" i="1"/>
  <c r="H10" i="1"/>
  <c r="D10" i="1" s="1"/>
  <c r="G10" i="1"/>
  <c r="F10" i="1"/>
  <c r="E10" i="1"/>
  <c r="B10" i="1"/>
  <c r="A10" i="1"/>
  <c r="J9" i="1"/>
  <c r="I9" i="1"/>
  <c r="H9" i="1"/>
  <c r="D9" i="1" s="1"/>
  <c r="G9" i="1"/>
  <c r="F9" i="1"/>
  <c r="E9" i="1"/>
  <c r="B9" i="1"/>
  <c r="A9" i="1"/>
  <c r="J8" i="1"/>
  <c r="I8" i="1"/>
  <c r="H8" i="1"/>
  <c r="D8" i="1" s="1"/>
  <c r="G8" i="1"/>
  <c r="F8" i="1"/>
  <c r="E8" i="1"/>
  <c r="B8" i="1"/>
  <c r="A8" i="1"/>
  <c r="J7" i="1"/>
  <c r="I7" i="1"/>
  <c r="H7" i="1"/>
  <c r="D7" i="1" s="1"/>
  <c r="G7" i="1"/>
  <c r="F7" i="1"/>
  <c r="E7" i="1"/>
  <c r="B7" i="1"/>
  <c r="A7" i="1"/>
  <c r="J6" i="1"/>
  <c r="I6" i="1"/>
  <c r="H6" i="1"/>
  <c r="D6" i="1" s="1"/>
  <c r="G6" i="1"/>
  <c r="F6" i="1"/>
  <c r="E6" i="1"/>
  <c r="B6" i="1"/>
  <c r="A6" i="1"/>
  <c r="J5" i="1"/>
  <c r="I5" i="1"/>
  <c r="H5" i="1"/>
  <c r="D5" i="1" s="1"/>
  <c r="G5" i="1"/>
  <c r="F5" i="1"/>
  <c r="E5" i="1"/>
  <c r="B5" i="1"/>
  <c r="A5" i="1"/>
  <c r="J4" i="1"/>
  <c r="I4" i="1"/>
  <c r="H4" i="1"/>
  <c r="D4" i="1" s="1"/>
  <c r="G4" i="1"/>
  <c r="F4" i="1"/>
  <c r="E4" i="1"/>
  <c r="B4" i="1"/>
  <c r="A4" i="1"/>
  <c r="J3" i="1"/>
  <c r="I3" i="1"/>
  <c r="H3" i="1"/>
  <c r="D3" i="1" s="1"/>
  <c r="G3" i="1"/>
  <c r="F3" i="1"/>
  <c r="E3" i="1"/>
  <c r="B3" i="1"/>
  <c r="A3" i="1"/>
</calcChain>
</file>

<file path=xl/sharedStrings.xml><?xml version="1.0" encoding="utf-8"?>
<sst xmlns="http://schemas.openxmlformats.org/spreadsheetml/2006/main" count="11" uniqueCount="11">
  <si>
    <t/>
  </si>
  <si>
    <t>TIPO</t>
  </si>
  <si>
    <t>FROTA</t>
  </si>
  <si>
    <t>ORDEM</t>
  </si>
  <si>
    <t>PLANO</t>
  </si>
  <si>
    <t>DATA</t>
  </si>
  <si>
    <t>LOCAL</t>
  </si>
  <si>
    <t>SETOR</t>
  </si>
  <si>
    <t>Coluna3</t>
  </si>
  <si>
    <t>Coluna4</t>
  </si>
  <si>
    <t>ENCERRADA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</si>
</sst>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14" fontId="0" fillId="0" borderId="0" xfId="0" applyNumberFormat="1"/>
    <xf numFmtId="0" fontId="0" fillId="2" borderId="0" xfId="0" applyFill="1"/>
  </cellXfs>
  <cellStyles count="1"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5.xml"/><Relationship Id="rId3" Type="http://schemas.openxmlformats.org/officeDocument/2006/relationships/externalLink" Target="externalLinks/externalLink2.xml"/><Relationship Id="rId7" Type="http://schemas.microsoft.com/office/2007/relationships/slicerCache" Target="slicerCaches/slicerCache4.xml"/><Relationship Id="rId12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sharedStrings" Target="sharedStrings.xml"/><Relationship Id="rId5" Type="http://schemas.microsoft.com/office/2007/relationships/slicerCache" Target="slicerCaches/slicerCache2.xml"/><Relationship Id="rId10" Type="http://schemas.openxmlformats.org/officeDocument/2006/relationships/styles" Target="styles.xml"/><Relationship Id="rId4" Type="http://schemas.microsoft.com/office/2007/relationships/slicerCache" Target="slicerCaches/slicerCache1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333375</xdr:colOff>
      <xdr:row>2</xdr:row>
      <xdr:rowOff>114300</xdr:rowOff>
    </xdr:from>
    <xdr:to>
      <xdr:col>21</xdr:col>
      <xdr:colOff>447675</xdr:colOff>
      <xdr:row>7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ENCERRADA">
              <a:extLst>
                <a:ext uri="{FF2B5EF4-FFF2-40B4-BE49-F238E27FC236}">
                  <a16:creationId xmlns:a16="http://schemas.microsoft.com/office/drawing/2014/main" id="{7A7EBFAD-1CC2-4117-AB61-3FCC69AB7A3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CERRAD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20575" y="742950"/>
              <a:ext cx="2552700" cy="866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17</xdr:col>
      <xdr:colOff>314325</xdr:colOff>
      <xdr:row>7</xdr:row>
      <xdr:rowOff>47625</xdr:rowOff>
    </xdr:from>
    <xdr:to>
      <xdr:col>20</xdr:col>
      <xdr:colOff>314325</xdr:colOff>
      <xdr:row>21</xdr:row>
      <xdr:rowOff>47625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PLANO">
              <a:extLst>
                <a:ext uri="{FF2B5EF4-FFF2-40B4-BE49-F238E27FC236}">
                  <a16:creationId xmlns:a16="http://schemas.microsoft.com/office/drawing/2014/main" id="{B7ABF9AD-BE5E-46B6-B283-85CD5E8382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01525" y="16287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23</xdr:col>
      <xdr:colOff>409575</xdr:colOff>
      <xdr:row>7</xdr:row>
      <xdr:rowOff>47625</xdr:rowOff>
    </xdr:from>
    <xdr:to>
      <xdr:col>26</xdr:col>
      <xdr:colOff>409575</xdr:colOff>
      <xdr:row>26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47129F8C-1375-437B-AEFA-1A0B167395E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54375" y="1628775"/>
              <a:ext cx="1828800" cy="3600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17</xdr:col>
      <xdr:colOff>333375</xdr:colOff>
      <xdr:row>0</xdr:row>
      <xdr:rowOff>9525</xdr:rowOff>
    </xdr:from>
    <xdr:to>
      <xdr:col>22</xdr:col>
      <xdr:colOff>438151</xdr:colOff>
      <xdr:row>2</xdr:row>
      <xdr:rowOff>76200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LOCAL">
              <a:extLst>
                <a:ext uri="{FF2B5EF4-FFF2-40B4-BE49-F238E27FC236}">
                  <a16:creationId xmlns:a16="http://schemas.microsoft.com/office/drawing/2014/main" id="{0DB75DE2-6C98-474B-9F8D-B3A6825B4CD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OC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20575" y="9525"/>
              <a:ext cx="3152776" cy="695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276225</xdr:colOff>
      <xdr:row>9</xdr:row>
      <xdr:rowOff>28575</xdr:rowOff>
    </xdr:from>
    <xdr:to>
      <xdr:col>23</xdr:col>
      <xdr:colOff>276225</xdr:colOff>
      <xdr:row>23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SETOR">
              <a:extLst>
                <a:ext uri="{FF2B5EF4-FFF2-40B4-BE49-F238E27FC236}">
                  <a16:creationId xmlns:a16="http://schemas.microsoft.com/office/drawing/2014/main" id="{484ADFCA-38B7-4DC4-B278-39AE6C3692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92225" y="199072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0</xdr:rowOff>
        </xdr:from>
        <xdr:to>
          <xdr:col>11</xdr:col>
          <xdr:colOff>133350</xdr:colOff>
          <xdr:row>0</xdr:row>
          <xdr:rowOff>400050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Prev. pedente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352425</xdr:colOff>
          <xdr:row>0</xdr:row>
          <xdr:rowOff>0</xdr:rowOff>
        </xdr:from>
        <xdr:to>
          <xdr:col>12</xdr:col>
          <xdr:colOff>466725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MEC Interna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uario\OneDrive\Documentos\Prog\D-1%20-%20PREVENTIVAS%20-%20POR%20SUPERVISOR.xlsm" TargetMode="External"/><Relationship Id="rId1" Type="http://schemas.openxmlformats.org/officeDocument/2006/relationships/externalLinkPath" Target="D-1%20-%20PREVENTIVAS%20-%20POR%20SUPERVISOR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sacucar-my.sharepoint.com/personal/eduardoamorim_usacucar_com_br/Documents/&#193;rea%20de%20Trabalho/CAF&#201;_2/SEMANA%2014-/ENVIO%20DE%20PROGRAMA&#199;&#195;O/BASE%20PROGRAMA&#199;&#195;O%20(PADR&#195;O%20CORPORATIVO).xlsx" TargetMode="External"/><Relationship Id="rId1" Type="http://schemas.openxmlformats.org/officeDocument/2006/relationships/externalLinkPath" Target="https://usacucar-my.sharepoint.com/personal/eduardoamorim_usacucar_com_br/Documents/&#193;rea%20de%20Trabalho/CAF&#201;_2/SEMANA%2014-/ENVIO%20DE%20PROGRAMA&#199;&#195;O/BASE%20PROGRAMA&#199;&#195;O%20(PADR&#195;O%20CORPORATIV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áfico"/>
      <sheetName val="Jorge Marcatti"/>
      <sheetName val="Marcelo Pereira"/>
      <sheetName val="Luan Roger"/>
      <sheetName val="Joel Ribeiro"/>
      <sheetName val="Pedro Silva"/>
      <sheetName val="Marcelo Assoni"/>
      <sheetName val="Andre Luiz Nagahiro"/>
      <sheetName val="Prev Não Realizada"/>
      <sheetName val="BASE_PROGRAMAÇÃO"/>
      <sheetName val="WHATSAPP"/>
      <sheetName val="BASE DE PLANOS"/>
      <sheetName val="BASE"/>
      <sheetName val="JUST"/>
      <sheetName val="ENCERRADAS"/>
      <sheetName val="Horas_Perm"/>
      <sheetName val="OS_ABERTA"/>
      <sheetName val="O.S ENCERRADA"/>
      <sheetName val="Concatenar"/>
      <sheetName val="MEC"/>
      <sheetName val="TEMP_IDEAL"/>
      <sheetName val="D-1 - PREVENTIVAS - POR SUPERVI"/>
    </sheetNames>
    <definedNames>
      <definedName name="ExportarRelatorio_internaMecanica_ComOrdem"/>
      <definedName name="ExportarTXT_PorDataESetor_SemSina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A2" t="str">
            <v>OS</v>
          </cell>
          <cell r="B2" t="str">
            <v>EQUIP</v>
          </cell>
          <cell r="C2" t="str">
            <v>GRUPO OPER</v>
          </cell>
          <cell r="D2" t="str">
            <v>DT ENTRADA</v>
          </cell>
          <cell r="E2" t="str">
            <v>DESCRIÇÃO PLANO</v>
          </cell>
          <cell r="L2" t="str">
            <v>SETOR</v>
          </cell>
          <cell r="O2" t="str">
            <v>LOCAL DE EXECUÇÃO</v>
          </cell>
        </row>
        <row r="3">
          <cell r="A3">
            <v>200627</v>
          </cell>
          <cell r="B3">
            <v>11020033</v>
          </cell>
          <cell r="C3" t="str">
            <v>CAMINHOES</v>
          </cell>
          <cell r="D3">
            <v>46116</v>
          </cell>
          <cell r="E3" t="str">
            <v>Mecânica</v>
          </cell>
          <cell r="L3" t="str">
            <v>INDÚSTRIA</v>
          </cell>
          <cell r="O3" t="str">
            <v>INTERNA</v>
          </cell>
        </row>
        <row r="4">
          <cell r="A4">
            <v>200627</v>
          </cell>
          <cell r="B4">
            <v>11020033</v>
          </cell>
          <cell r="C4" t="str">
            <v>CAMINHOES</v>
          </cell>
          <cell r="D4">
            <v>46116</v>
          </cell>
          <cell r="E4" t="str">
            <v>Mecânica</v>
          </cell>
          <cell r="L4" t="str">
            <v>INDÚSTRIA</v>
          </cell>
          <cell r="O4" t="str">
            <v>INTERNA</v>
          </cell>
        </row>
        <row r="5">
          <cell r="A5">
            <v>200627</v>
          </cell>
          <cell r="B5">
            <v>11020033</v>
          </cell>
          <cell r="C5" t="str">
            <v>CAMINHOES</v>
          </cell>
          <cell r="D5">
            <v>46116</v>
          </cell>
          <cell r="E5" t="str">
            <v>Mecânica</v>
          </cell>
          <cell r="L5" t="str">
            <v>INDÚSTRIA</v>
          </cell>
          <cell r="O5" t="str">
            <v>INTERNA</v>
          </cell>
        </row>
        <row r="6">
          <cell r="A6">
            <v>200627</v>
          </cell>
          <cell r="B6">
            <v>11020033</v>
          </cell>
          <cell r="C6" t="str">
            <v>CAMINHOES</v>
          </cell>
          <cell r="D6">
            <v>46116</v>
          </cell>
          <cell r="E6" t="str">
            <v>Mecânica</v>
          </cell>
          <cell r="L6" t="str">
            <v>INDÚSTRIA</v>
          </cell>
          <cell r="O6" t="str">
            <v>INTERNA</v>
          </cell>
        </row>
        <row r="7">
          <cell r="A7">
            <v>200626</v>
          </cell>
          <cell r="B7">
            <v>13100025</v>
          </cell>
          <cell r="C7" t="str">
            <v>TRATORES</v>
          </cell>
          <cell r="D7">
            <v>46116</v>
          </cell>
          <cell r="E7" t="str">
            <v>Mecânica</v>
          </cell>
          <cell r="L7" t="str">
            <v>COLHEITA</v>
          </cell>
          <cell r="O7" t="str">
            <v>CAMPO</v>
          </cell>
        </row>
        <row r="8">
          <cell r="A8">
            <v>200625</v>
          </cell>
          <cell r="B8">
            <v>13100002</v>
          </cell>
          <cell r="C8" t="str">
            <v>TRATORES</v>
          </cell>
          <cell r="D8">
            <v>46114</v>
          </cell>
          <cell r="E8" t="str">
            <v>Mecânica</v>
          </cell>
          <cell r="L8" t="str">
            <v>TRATOS CULTURAIS</v>
          </cell>
          <cell r="O8" t="str">
            <v>CAMPO</v>
          </cell>
        </row>
        <row r="9">
          <cell r="A9">
            <v>200624</v>
          </cell>
          <cell r="B9">
            <v>13040060</v>
          </cell>
          <cell r="C9" t="str">
            <v>MAQUINAS PESADAS</v>
          </cell>
          <cell r="D9">
            <v>46114</v>
          </cell>
          <cell r="E9" t="str">
            <v>Mecânica</v>
          </cell>
          <cell r="L9" t="str">
            <v>PREPARO</v>
          </cell>
          <cell r="O9" t="str">
            <v>CAMPO</v>
          </cell>
        </row>
        <row r="10">
          <cell r="A10">
            <v>200623</v>
          </cell>
          <cell r="B10">
            <v>11140151</v>
          </cell>
          <cell r="C10" t="str">
            <v>CAMINHOES</v>
          </cell>
          <cell r="D10">
            <v>46114</v>
          </cell>
          <cell r="E10" t="str">
            <v>Mecânica</v>
          </cell>
          <cell r="L10" t="str">
            <v>PLANTIO</v>
          </cell>
          <cell r="O10" t="str">
            <v>INTERNA</v>
          </cell>
        </row>
        <row r="11">
          <cell r="A11">
            <v>200623</v>
          </cell>
          <cell r="B11">
            <v>11140151</v>
          </cell>
          <cell r="C11" t="str">
            <v>CAMINHOES</v>
          </cell>
          <cell r="D11">
            <v>46114</v>
          </cell>
          <cell r="E11" t="str">
            <v>Mecânica</v>
          </cell>
          <cell r="L11" t="str">
            <v>PLANTIO</v>
          </cell>
          <cell r="O11" t="str">
            <v>INTERNA</v>
          </cell>
        </row>
        <row r="12">
          <cell r="A12">
            <v>200623</v>
          </cell>
          <cell r="B12">
            <v>11140151</v>
          </cell>
          <cell r="C12" t="str">
            <v>CAMINHOES</v>
          </cell>
          <cell r="D12">
            <v>46114</v>
          </cell>
          <cell r="E12" t="str">
            <v>Mecânica</v>
          </cell>
          <cell r="L12" t="str">
            <v>PLANTIO</v>
          </cell>
          <cell r="O12" t="str">
            <v>INTERNA</v>
          </cell>
        </row>
        <row r="13">
          <cell r="A13">
            <v>200621</v>
          </cell>
          <cell r="B13">
            <v>11060061</v>
          </cell>
          <cell r="C13" t="str">
            <v>CAMINHOES</v>
          </cell>
          <cell r="D13">
            <v>46114</v>
          </cell>
          <cell r="E13" t="str">
            <v>Mecânica</v>
          </cell>
          <cell r="L13" t="str">
            <v>COLHEITA</v>
          </cell>
          <cell r="O13" t="str">
            <v>INTERNA</v>
          </cell>
        </row>
        <row r="14">
          <cell r="A14">
            <v>200620</v>
          </cell>
          <cell r="B14">
            <v>13100489</v>
          </cell>
          <cell r="C14" t="str">
            <v>TRATORES</v>
          </cell>
          <cell r="D14">
            <v>46113</v>
          </cell>
          <cell r="E14" t="str">
            <v>Mecânica</v>
          </cell>
          <cell r="L14" t="str">
            <v>COLHEITA</v>
          </cell>
          <cell r="O14" t="str">
            <v>CAMPO</v>
          </cell>
        </row>
        <row r="15">
          <cell r="A15">
            <v>200619</v>
          </cell>
          <cell r="B15">
            <v>13100017</v>
          </cell>
          <cell r="C15" t="str">
            <v>TRATORES</v>
          </cell>
          <cell r="D15">
            <v>46113</v>
          </cell>
          <cell r="E15" t="str">
            <v>Mecânica</v>
          </cell>
          <cell r="L15" t="str">
            <v>COLHEITA</v>
          </cell>
          <cell r="O15" t="str">
            <v>CAMPO</v>
          </cell>
        </row>
        <row r="16">
          <cell r="A16">
            <v>200618</v>
          </cell>
          <cell r="B16">
            <v>13020163</v>
          </cell>
          <cell r="C16" t="str">
            <v>COLHEDORAS</v>
          </cell>
          <cell r="D16">
            <v>46113</v>
          </cell>
          <cell r="E16" t="str">
            <v>Mecânica</v>
          </cell>
          <cell r="L16" t="str">
            <v>COLHEITA</v>
          </cell>
          <cell r="O16" t="str">
            <v>CAMPO</v>
          </cell>
        </row>
        <row r="17">
          <cell r="A17">
            <v>200617</v>
          </cell>
          <cell r="B17">
            <v>12040007</v>
          </cell>
          <cell r="C17" t="str">
            <v>QUADRICICLOS</v>
          </cell>
          <cell r="D17">
            <v>46113</v>
          </cell>
          <cell r="E17" t="str">
            <v>Mecânica</v>
          </cell>
          <cell r="L17" t="str">
            <v>ADMINISTRATIVO</v>
          </cell>
          <cell r="O17" t="str">
            <v>INTERNA</v>
          </cell>
        </row>
        <row r="18">
          <cell r="A18">
            <v>200616</v>
          </cell>
          <cell r="B18">
            <v>13100012</v>
          </cell>
          <cell r="C18" t="str">
            <v>TRATORES</v>
          </cell>
          <cell r="D18">
            <v>46112</v>
          </cell>
          <cell r="E18" t="str">
            <v>Mecânica</v>
          </cell>
          <cell r="L18" t="str">
            <v>PREPARO</v>
          </cell>
          <cell r="O18" t="str">
            <v>CAMPO</v>
          </cell>
        </row>
        <row r="19">
          <cell r="A19">
            <v>200616</v>
          </cell>
          <cell r="B19">
            <v>13100012</v>
          </cell>
          <cell r="C19" t="str">
            <v>TRATORES</v>
          </cell>
          <cell r="D19">
            <v>46112</v>
          </cell>
          <cell r="E19" t="str">
            <v>Mecânica</v>
          </cell>
          <cell r="L19" t="str">
            <v>PREPARO</v>
          </cell>
          <cell r="O19" t="str">
            <v>CAMPO</v>
          </cell>
        </row>
        <row r="20">
          <cell r="A20">
            <v>200616</v>
          </cell>
          <cell r="B20">
            <v>13100012</v>
          </cell>
          <cell r="C20" t="str">
            <v>TRATORES</v>
          </cell>
          <cell r="D20">
            <v>46112</v>
          </cell>
          <cell r="E20" t="str">
            <v>Mecânica</v>
          </cell>
          <cell r="L20" t="str">
            <v>PREPARO</v>
          </cell>
          <cell r="O20" t="str">
            <v>CAMPO</v>
          </cell>
        </row>
        <row r="21">
          <cell r="A21">
            <v>200608</v>
          </cell>
          <cell r="B21">
            <v>15080001</v>
          </cell>
          <cell r="C21" t="str">
            <v>IMPLEMENTOS AGRICOLAS</v>
          </cell>
          <cell r="D21">
            <v>46116</v>
          </cell>
          <cell r="E21" t="str">
            <v>Lubrificação</v>
          </cell>
          <cell r="L21" t="str">
            <v>TRATOS CULTURAIS</v>
          </cell>
          <cell r="O21" t="str">
            <v>CAMPO</v>
          </cell>
        </row>
        <row r="22">
          <cell r="A22">
            <v>200607</v>
          </cell>
          <cell r="B22">
            <v>13130024</v>
          </cell>
          <cell r="C22" t="str">
            <v>TRATORES</v>
          </cell>
          <cell r="D22">
            <v>46116</v>
          </cell>
          <cell r="E22" t="str">
            <v>Lubrificação</v>
          </cell>
          <cell r="L22" t="str">
            <v>TRATOS CULTURAIS</v>
          </cell>
          <cell r="O22" t="str">
            <v>CAMPO</v>
          </cell>
        </row>
        <row r="23">
          <cell r="A23">
            <v>200606</v>
          </cell>
          <cell r="B23">
            <v>13040060</v>
          </cell>
          <cell r="C23" t="str">
            <v>MAQUINAS PESADAS</v>
          </cell>
          <cell r="D23">
            <v>46114</v>
          </cell>
          <cell r="E23" t="str">
            <v>Lubrificação</v>
          </cell>
          <cell r="L23" t="str">
            <v>PREPARO</v>
          </cell>
          <cell r="O23" t="str">
            <v>CAMPO</v>
          </cell>
        </row>
        <row r="24">
          <cell r="A24">
            <v>200605</v>
          </cell>
          <cell r="B24">
            <v>13100489</v>
          </cell>
          <cell r="C24" t="str">
            <v>TRATORES</v>
          </cell>
          <cell r="D24">
            <v>46113</v>
          </cell>
          <cell r="E24" t="str">
            <v>Lubrificação</v>
          </cell>
          <cell r="L24" t="str">
            <v>COLHEITA</v>
          </cell>
          <cell r="O24" t="str">
            <v>CAMPO</v>
          </cell>
        </row>
        <row r="25">
          <cell r="A25">
            <v>200604</v>
          </cell>
          <cell r="B25">
            <v>13020239</v>
          </cell>
          <cell r="C25" t="str">
            <v>COLHEDORAS</v>
          </cell>
          <cell r="D25">
            <v>46111</v>
          </cell>
          <cell r="E25" t="str">
            <v>Lubrificação</v>
          </cell>
          <cell r="L25" t="str">
            <v>COLHEITA</v>
          </cell>
          <cell r="O25" t="str">
            <v>CAMPO</v>
          </cell>
        </row>
        <row r="26">
          <cell r="A26">
            <v>200603</v>
          </cell>
          <cell r="B26">
            <v>11040039</v>
          </cell>
          <cell r="C26" t="str">
            <v>CAMINHOES</v>
          </cell>
          <cell r="D26">
            <v>46111</v>
          </cell>
          <cell r="E26" t="str">
            <v>Lubrificação</v>
          </cell>
          <cell r="L26" t="str">
            <v>APOIO</v>
          </cell>
          <cell r="O26" t="str">
            <v>INTERNA</v>
          </cell>
        </row>
        <row r="27">
          <cell r="A27">
            <v>200411</v>
          </cell>
          <cell r="B27">
            <v>15220663</v>
          </cell>
          <cell r="C27" t="str">
            <v>IMPLEMENTOS AGRICOLAS</v>
          </cell>
          <cell r="D27">
            <v>46116</v>
          </cell>
          <cell r="E27" t="str">
            <v>Mecânica</v>
          </cell>
          <cell r="L27" t="str">
            <v>COLHEITA</v>
          </cell>
          <cell r="O27" t="str">
            <v>CAMPO</v>
          </cell>
        </row>
        <row r="28">
          <cell r="A28">
            <v>200410</v>
          </cell>
          <cell r="B28">
            <v>15220039</v>
          </cell>
          <cell r="C28" t="str">
            <v>IMPLEMENTOS AGRICOLAS</v>
          </cell>
          <cell r="D28">
            <v>46116</v>
          </cell>
          <cell r="E28" t="str">
            <v>Mecânica</v>
          </cell>
          <cell r="L28" t="str">
            <v>COLHEITA</v>
          </cell>
          <cell r="O28" t="str">
            <v>CAMPO</v>
          </cell>
        </row>
        <row r="29">
          <cell r="A29">
            <v>200409</v>
          </cell>
          <cell r="B29">
            <v>15220007</v>
          </cell>
          <cell r="C29" t="str">
            <v>IMPLEMENTOS AGRICOLAS</v>
          </cell>
          <cell r="D29">
            <v>46114</v>
          </cell>
          <cell r="E29" t="str">
            <v>Mecânica</v>
          </cell>
          <cell r="L29" t="str">
            <v>COLHEITA</v>
          </cell>
          <cell r="O29" t="str">
            <v>CAMPO</v>
          </cell>
        </row>
        <row r="30">
          <cell r="A30">
            <v>200408</v>
          </cell>
          <cell r="B30">
            <v>15220005</v>
          </cell>
          <cell r="C30" t="str">
            <v>IMPLEMENTOS AGRICOLAS</v>
          </cell>
          <cell r="D30">
            <v>46113</v>
          </cell>
          <cell r="E30" t="str">
            <v>Mecânica</v>
          </cell>
          <cell r="L30" t="str">
            <v>COLHEITA</v>
          </cell>
          <cell r="O30" t="str">
            <v>CAMPO</v>
          </cell>
        </row>
        <row r="31">
          <cell r="A31">
            <v>200407</v>
          </cell>
          <cell r="B31">
            <v>15220003</v>
          </cell>
          <cell r="C31" t="str">
            <v>IMPLEMENTOS AGRICOLAS</v>
          </cell>
          <cell r="D31">
            <v>46112</v>
          </cell>
          <cell r="E31" t="str">
            <v>Mecânica</v>
          </cell>
          <cell r="L31" t="str">
            <v>COLHEITA</v>
          </cell>
          <cell r="O31" t="str">
            <v>CAMPO</v>
          </cell>
        </row>
        <row r="32">
          <cell r="A32">
            <v>200406</v>
          </cell>
          <cell r="B32">
            <v>15220001</v>
          </cell>
          <cell r="C32" t="str">
            <v>IMPLEMENTOS AGRICOLAS</v>
          </cell>
          <cell r="D32">
            <v>46111</v>
          </cell>
          <cell r="E32" t="str">
            <v>Mecânica</v>
          </cell>
          <cell r="L32" t="str">
            <v>COLHEITA</v>
          </cell>
          <cell r="O32" t="str">
            <v>CAMPO</v>
          </cell>
        </row>
        <row r="33">
          <cell r="A33">
            <v>200404</v>
          </cell>
          <cell r="B33">
            <v>16100023</v>
          </cell>
          <cell r="C33" t="str">
            <v>IMPLEMENTOS RODOVIARIOS</v>
          </cell>
          <cell r="D33">
            <v>46112</v>
          </cell>
          <cell r="E33" t="str">
            <v>Primária</v>
          </cell>
          <cell r="L33" t="str">
            <v>TRATOS CULTURAIS</v>
          </cell>
          <cell r="O33" t="str">
            <v>INTERNA</v>
          </cell>
        </row>
        <row r="34">
          <cell r="A34">
            <v>200403</v>
          </cell>
          <cell r="B34">
            <v>16040023</v>
          </cell>
          <cell r="C34" t="str">
            <v>IMPLEMENTOS RODOVIARIOS</v>
          </cell>
          <cell r="D34">
            <v>46113</v>
          </cell>
          <cell r="E34" t="str">
            <v>Primária</v>
          </cell>
          <cell r="L34" t="str">
            <v>TRATOS CULTURAIS</v>
          </cell>
          <cell r="O34" t="str">
            <v>INTERNA</v>
          </cell>
        </row>
        <row r="35">
          <cell r="A35">
            <v>200402</v>
          </cell>
          <cell r="B35">
            <v>16100027</v>
          </cell>
          <cell r="C35" t="str">
            <v>IMPLEMENTOS RODOVIARIOS</v>
          </cell>
          <cell r="D35">
            <v>46112</v>
          </cell>
          <cell r="E35" t="str">
            <v>Primária</v>
          </cell>
          <cell r="L35" t="str">
            <v>TRATOS CULTURAIS</v>
          </cell>
          <cell r="O35" t="str">
            <v>INTERNA</v>
          </cell>
        </row>
        <row r="36">
          <cell r="A36">
            <v>200401</v>
          </cell>
          <cell r="B36">
            <v>16100026</v>
          </cell>
          <cell r="C36" t="str">
            <v>IMPLEMENTOS RODOVIARIOS</v>
          </cell>
          <cell r="D36">
            <v>46114</v>
          </cell>
          <cell r="E36" t="str">
            <v>Primária</v>
          </cell>
          <cell r="L36" t="str">
            <v>TRATOS CULTURAIS</v>
          </cell>
          <cell r="O36" t="str">
            <v>INTERNA</v>
          </cell>
        </row>
        <row r="37">
          <cell r="A37">
            <v>200400</v>
          </cell>
          <cell r="B37">
            <v>16040029</v>
          </cell>
          <cell r="C37" t="str">
            <v>IMPLEMENTOS RODOVIARIOS</v>
          </cell>
          <cell r="D37">
            <v>46113</v>
          </cell>
          <cell r="E37" t="str">
            <v>Primária</v>
          </cell>
          <cell r="L37" t="str">
            <v>TRATOS CULTURAIS</v>
          </cell>
          <cell r="O37" t="str">
            <v>INTERNA</v>
          </cell>
        </row>
        <row r="38">
          <cell r="A38">
            <v>200399</v>
          </cell>
          <cell r="B38">
            <v>16040028</v>
          </cell>
          <cell r="C38" t="str">
            <v>IMPLEMENTOS RODOVIARIOS</v>
          </cell>
          <cell r="D38">
            <v>46112</v>
          </cell>
          <cell r="E38" t="str">
            <v>Primária</v>
          </cell>
          <cell r="L38" t="str">
            <v>TRATOS CULTURAIS</v>
          </cell>
          <cell r="O38" t="str">
            <v>INTERNA</v>
          </cell>
        </row>
        <row r="39">
          <cell r="A39">
            <v>200398</v>
          </cell>
          <cell r="B39">
            <v>16100004</v>
          </cell>
          <cell r="C39" t="str">
            <v>IMPLEMENTOS RODOVIARIOS</v>
          </cell>
          <cell r="D39">
            <v>46115</v>
          </cell>
          <cell r="E39" t="str">
            <v>Primária</v>
          </cell>
          <cell r="L39" t="str">
            <v>TRATOS CULTURAIS</v>
          </cell>
          <cell r="O39" t="str">
            <v>INTERNA</v>
          </cell>
        </row>
        <row r="40">
          <cell r="A40">
            <v>200397</v>
          </cell>
          <cell r="B40">
            <v>16100003</v>
          </cell>
          <cell r="C40" t="str">
            <v>IMPLEMENTOS RODOVIARIOS</v>
          </cell>
          <cell r="D40">
            <v>46114</v>
          </cell>
          <cell r="E40" t="str">
            <v>Primária</v>
          </cell>
          <cell r="L40" t="str">
            <v>TRATOS CULTURAIS</v>
          </cell>
          <cell r="O40" t="str">
            <v>INTERNA</v>
          </cell>
        </row>
        <row r="41">
          <cell r="A41">
            <v>200396</v>
          </cell>
          <cell r="B41">
            <v>16100002</v>
          </cell>
          <cell r="C41" t="str">
            <v>IMPLEMENTOS RODOVIARIOS</v>
          </cell>
          <cell r="D41">
            <v>46111</v>
          </cell>
          <cell r="E41" t="str">
            <v>Primária</v>
          </cell>
          <cell r="L41" t="str">
            <v>TRATOS CULTURAIS</v>
          </cell>
          <cell r="O41" t="str">
            <v>INTERNA</v>
          </cell>
        </row>
        <row r="42">
          <cell r="A42">
            <v>200395</v>
          </cell>
          <cell r="B42">
            <v>16040008</v>
          </cell>
          <cell r="C42" t="str">
            <v>IMPLEMENTOS RODOVIARIOS</v>
          </cell>
          <cell r="D42">
            <v>46112</v>
          </cell>
          <cell r="E42" t="str">
            <v>Primária</v>
          </cell>
          <cell r="L42" t="str">
            <v>TRATOS CULTURAIS</v>
          </cell>
          <cell r="O42" t="str">
            <v>INTERNA</v>
          </cell>
        </row>
        <row r="43">
          <cell r="A43">
            <v>200394</v>
          </cell>
          <cell r="B43">
            <v>16040007</v>
          </cell>
          <cell r="C43" t="str">
            <v>IMPLEMENTOS RODOVIARIOS</v>
          </cell>
          <cell r="D43">
            <v>46111</v>
          </cell>
          <cell r="E43" t="str">
            <v>Primária</v>
          </cell>
          <cell r="L43" t="str">
            <v>TRATOS CULTURAIS</v>
          </cell>
          <cell r="O43" t="str">
            <v>INTERNA</v>
          </cell>
        </row>
        <row r="44">
          <cell r="A44">
            <v>200393</v>
          </cell>
          <cell r="B44">
            <v>16040006</v>
          </cell>
          <cell r="C44" t="str">
            <v>IMPLEMENTOS RODOVIARIOS</v>
          </cell>
          <cell r="D44">
            <v>46115</v>
          </cell>
          <cell r="E44" t="str">
            <v>Primária</v>
          </cell>
          <cell r="L44" t="str">
            <v>TRATOS CULTURAIS</v>
          </cell>
          <cell r="O44" t="str">
            <v>INTERNA</v>
          </cell>
        </row>
        <row r="45">
          <cell r="A45">
            <v>200392</v>
          </cell>
          <cell r="B45">
            <v>11050067</v>
          </cell>
          <cell r="C45" t="str">
            <v>CAMINHOES</v>
          </cell>
          <cell r="D45">
            <v>46115</v>
          </cell>
          <cell r="E45" t="str">
            <v>Primária</v>
          </cell>
          <cell r="L45" t="str">
            <v>TRATOS CULTURAIS</v>
          </cell>
          <cell r="O45" t="str">
            <v>INTERNA</v>
          </cell>
        </row>
        <row r="46">
          <cell r="A46">
            <v>200391</v>
          </cell>
          <cell r="B46">
            <v>11050043</v>
          </cell>
          <cell r="C46" t="str">
            <v>CAMINHOES</v>
          </cell>
          <cell r="D46">
            <v>46113</v>
          </cell>
          <cell r="E46" t="str">
            <v>Primária</v>
          </cell>
          <cell r="L46" t="str">
            <v>TRATOS CULTURAIS</v>
          </cell>
          <cell r="O46" t="str">
            <v>INTERNA</v>
          </cell>
        </row>
        <row r="47">
          <cell r="A47">
            <v>200390</v>
          </cell>
          <cell r="B47">
            <v>11050044</v>
          </cell>
          <cell r="C47" t="str">
            <v>CAMINHOES</v>
          </cell>
          <cell r="D47">
            <v>46114</v>
          </cell>
          <cell r="E47" t="str">
            <v>Primária</v>
          </cell>
          <cell r="L47" t="str">
            <v>TRATOS CULTURAIS</v>
          </cell>
          <cell r="O47" t="str">
            <v>INTERNA</v>
          </cell>
        </row>
        <row r="48">
          <cell r="A48">
            <v>200389</v>
          </cell>
          <cell r="B48">
            <v>11050042</v>
          </cell>
          <cell r="C48" t="str">
            <v>CAMINHOES</v>
          </cell>
          <cell r="D48">
            <v>46112</v>
          </cell>
          <cell r="E48" t="str">
            <v>Primária</v>
          </cell>
          <cell r="L48" t="str">
            <v>TRATOS CULTURAIS</v>
          </cell>
          <cell r="O48" t="str">
            <v>INTERNA</v>
          </cell>
        </row>
        <row r="49">
          <cell r="A49">
            <v>200388</v>
          </cell>
          <cell r="B49">
            <v>13050051</v>
          </cell>
          <cell r="C49" t="str">
            <v>MAQUINAS PESADAS</v>
          </cell>
          <cell r="D49">
            <v>46115</v>
          </cell>
          <cell r="E49" t="str">
            <v>Primária</v>
          </cell>
          <cell r="L49" t="str">
            <v>TRATOS CULTURAIS</v>
          </cell>
          <cell r="O49" t="str">
            <v>CAMPO</v>
          </cell>
        </row>
        <row r="50">
          <cell r="A50">
            <v>200387</v>
          </cell>
          <cell r="B50">
            <v>13130024</v>
          </cell>
          <cell r="C50" t="str">
            <v>TRATORES</v>
          </cell>
          <cell r="D50">
            <v>46116</v>
          </cell>
          <cell r="E50" t="str">
            <v>Primária</v>
          </cell>
          <cell r="L50" t="str">
            <v>TRATOS CULTURAIS</v>
          </cell>
          <cell r="O50" t="str">
            <v>CAMPO</v>
          </cell>
        </row>
        <row r="51">
          <cell r="A51">
            <v>200386</v>
          </cell>
          <cell r="B51">
            <v>13090362</v>
          </cell>
          <cell r="C51" t="str">
            <v>TRATORES</v>
          </cell>
          <cell r="D51">
            <v>46114</v>
          </cell>
          <cell r="E51" t="str">
            <v>Primária</v>
          </cell>
          <cell r="L51" t="str">
            <v>TRATOS CULTURAIS</v>
          </cell>
          <cell r="O51" t="str">
            <v>CAMPO</v>
          </cell>
        </row>
        <row r="52">
          <cell r="A52">
            <v>200386</v>
          </cell>
          <cell r="B52">
            <v>13090362</v>
          </cell>
          <cell r="C52" t="str">
            <v>TRATORES</v>
          </cell>
          <cell r="D52">
            <v>46114</v>
          </cell>
          <cell r="E52" t="str">
            <v>Primária</v>
          </cell>
          <cell r="L52" t="str">
            <v>TRATOS CULTURAIS</v>
          </cell>
          <cell r="O52" t="str">
            <v>CAMPO</v>
          </cell>
        </row>
        <row r="53">
          <cell r="A53">
            <v>200385</v>
          </cell>
          <cell r="B53">
            <v>13090005</v>
          </cell>
          <cell r="C53" t="str">
            <v>TRATORES</v>
          </cell>
          <cell r="D53">
            <v>46116</v>
          </cell>
          <cell r="E53" t="str">
            <v>Primária</v>
          </cell>
          <cell r="L53" t="str">
            <v>TRATOS CULTURAIS</v>
          </cell>
          <cell r="O53" t="str">
            <v>CAMPO</v>
          </cell>
        </row>
        <row r="54">
          <cell r="A54">
            <v>200384</v>
          </cell>
          <cell r="B54">
            <v>13100277</v>
          </cell>
          <cell r="C54" t="str">
            <v>TRATORES</v>
          </cell>
          <cell r="D54">
            <v>46116</v>
          </cell>
          <cell r="E54" t="str">
            <v>Primária</v>
          </cell>
          <cell r="L54" t="str">
            <v>TRATOS CULTURAIS</v>
          </cell>
          <cell r="O54" t="str">
            <v>CAMPO</v>
          </cell>
        </row>
        <row r="55">
          <cell r="A55">
            <v>200383</v>
          </cell>
          <cell r="B55">
            <v>13100010</v>
          </cell>
          <cell r="C55" t="str">
            <v>TRATORES</v>
          </cell>
          <cell r="D55">
            <v>46111</v>
          </cell>
          <cell r="E55" t="str">
            <v>Primária</v>
          </cell>
          <cell r="L55" t="str">
            <v>TRATOS CULTURAIS</v>
          </cell>
          <cell r="O55" t="str">
            <v>CAMPO</v>
          </cell>
        </row>
        <row r="56">
          <cell r="A56">
            <v>200382</v>
          </cell>
          <cell r="B56">
            <v>13100002</v>
          </cell>
          <cell r="C56" t="str">
            <v>TRATORES</v>
          </cell>
          <cell r="D56">
            <v>46114</v>
          </cell>
          <cell r="E56" t="str">
            <v>Primária</v>
          </cell>
          <cell r="L56" t="str">
            <v>TRATOS CULTURAIS</v>
          </cell>
          <cell r="O56" t="str">
            <v>CAMPO</v>
          </cell>
        </row>
        <row r="57">
          <cell r="A57">
            <v>200381</v>
          </cell>
          <cell r="B57">
            <v>13100001</v>
          </cell>
          <cell r="C57" t="str">
            <v>TRATORES</v>
          </cell>
          <cell r="D57">
            <v>46111</v>
          </cell>
          <cell r="E57" t="str">
            <v>Primária</v>
          </cell>
          <cell r="L57" t="str">
            <v>TRATOS CULTURAIS</v>
          </cell>
          <cell r="O57" t="str">
            <v>CAMPO</v>
          </cell>
        </row>
        <row r="58">
          <cell r="A58">
            <v>200380</v>
          </cell>
          <cell r="B58">
            <v>13090331</v>
          </cell>
          <cell r="C58" t="str">
            <v>TRATORES</v>
          </cell>
          <cell r="D58">
            <v>46116</v>
          </cell>
          <cell r="E58" t="str">
            <v>Primária</v>
          </cell>
          <cell r="L58" t="str">
            <v>TRATOS CULTURAIS</v>
          </cell>
          <cell r="O58" t="str">
            <v>CAMPO</v>
          </cell>
        </row>
        <row r="59">
          <cell r="A59">
            <v>200379</v>
          </cell>
          <cell r="B59">
            <v>13090322</v>
          </cell>
          <cell r="C59" t="str">
            <v>TRATORES</v>
          </cell>
          <cell r="D59">
            <v>46113</v>
          </cell>
          <cell r="E59" t="str">
            <v>Primária</v>
          </cell>
          <cell r="L59" t="str">
            <v>TRATOS CULTURAIS</v>
          </cell>
          <cell r="O59" t="str">
            <v>CAMPO</v>
          </cell>
        </row>
        <row r="60">
          <cell r="A60">
            <v>200378</v>
          </cell>
          <cell r="B60">
            <v>13090321</v>
          </cell>
          <cell r="C60" t="str">
            <v>TRATORES</v>
          </cell>
          <cell r="D60">
            <v>46113</v>
          </cell>
          <cell r="E60" t="str">
            <v>Primária</v>
          </cell>
          <cell r="L60" t="str">
            <v>TRATOS CULTURAIS</v>
          </cell>
          <cell r="O60" t="str">
            <v>CAMPO</v>
          </cell>
        </row>
        <row r="61">
          <cell r="A61">
            <v>200377</v>
          </cell>
          <cell r="B61">
            <v>13090308</v>
          </cell>
          <cell r="C61" t="str">
            <v>TRATORES</v>
          </cell>
          <cell r="D61">
            <v>46114</v>
          </cell>
          <cell r="E61" t="str">
            <v>Primária</v>
          </cell>
          <cell r="L61" t="str">
            <v>TRATOS CULTURAIS</v>
          </cell>
          <cell r="O61" t="str">
            <v>CAMPO</v>
          </cell>
        </row>
        <row r="62">
          <cell r="A62">
            <v>200376</v>
          </cell>
          <cell r="B62">
            <v>13090022</v>
          </cell>
          <cell r="C62" t="str">
            <v>TRATORES</v>
          </cell>
          <cell r="D62">
            <v>46111</v>
          </cell>
          <cell r="E62" t="str">
            <v>Primária</v>
          </cell>
          <cell r="L62" t="str">
            <v>TRATOS CULTURAIS</v>
          </cell>
          <cell r="O62" t="str">
            <v>CAMPO</v>
          </cell>
        </row>
        <row r="63">
          <cell r="A63">
            <v>200375</v>
          </cell>
          <cell r="B63">
            <v>13090020</v>
          </cell>
          <cell r="C63" t="str">
            <v>TRATORES</v>
          </cell>
          <cell r="D63">
            <v>46116</v>
          </cell>
          <cell r="E63" t="str">
            <v>Primária</v>
          </cell>
          <cell r="L63" t="str">
            <v>TRATOS CULTURAIS</v>
          </cell>
          <cell r="O63" t="str">
            <v>CAMPO</v>
          </cell>
        </row>
        <row r="64">
          <cell r="A64">
            <v>200374</v>
          </cell>
          <cell r="B64">
            <v>13090009</v>
          </cell>
          <cell r="C64" t="str">
            <v>TRATORES</v>
          </cell>
          <cell r="D64">
            <v>46116</v>
          </cell>
          <cell r="E64" t="str">
            <v>Primária</v>
          </cell>
          <cell r="L64" t="str">
            <v>TRATOS CULTURAIS</v>
          </cell>
          <cell r="O64" t="str">
            <v>CAMPO</v>
          </cell>
        </row>
        <row r="65">
          <cell r="A65">
            <v>200373</v>
          </cell>
          <cell r="B65">
            <v>15020014</v>
          </cell>
          <cell r="C65" t="str">
            <v>IMPLEMENTOS AGRICOLAS</v>
          </cell>
          <cell r="D65">
            <v>46112</v>
          </cell>
          <cell r="E65" t="str">
            <v>Primária</v>
          </cell>
          <cell r="L65" t="str">
            <v>PREPARO</v>
          </cell>
          <cell r="O65" t="str">
            <v>CAMPO</v>
          </cell>
        </row>
        <row r="66">
          <cell r="A66">
            <v>200372</v>
          </cell>
          <cell r="B66">
            <v>15020009</v>
          </cell>
          <cell r="C66" t="str">
            <v>IMPLEMENTOS AGRICOLAS</v>
          </cell>
          <cell r="D66">
            <v>46112</v>
          </cell>
          <cell r="E66" t="str">
            <v>Primária</v>
          </cell>
          <cell r="L66" t="str">
            <v>PREPARO</v>
          </cell>
          <cell r="O66" t="str">
            <v>CAMPO</v>
          </cell>
        </row>
        <row r="67">
          <cell r="A67">
            <v>200371</v>
          </cell>
          <cell r="B67">
            <v>13040060</v>
          </cell>
          <cell r="C67" t="str">
            <v>MAQUINAS PESADAS</v>
          </cell>
          <cell r="D67">
            <v>46114</v>
          </cell>
          <cell r="E67" t="str">
            <v>Primária</v>
          </cell>
          <cell r="L67" t="str">
            <v>PREPARO</v>
          </cell>
          <cell r="O67" t="str">
            <v>CAMPO</v>
          </cell>
        </row>
        <row r="68">
          <cell r="A68">
            <v>200370</v>
          </cell>
          <cell r="B68">
            <v>13050133</v>
          </cell>
          <cell r="C68" t="str">
            <v>MAQUINAS PESADAS</v>
          </cell>
          <cell r="D68">
            <v>46114</v>
          </cell>
          <cell r="E68" t="str">
            <v>Primária</v>
          </cell>
          <cell r="L68" t="str">
            <v>PREPARO</v>
          </cell>
          <cell r="O68" t="str">
            <v>CAMPO</v>
          </cell>
        </row>
        <row r="69">
          <cell r="A69">
            <v>200369</v>
          </cell>
          <cell r="B69">
            <v>13040046</v>
          </cell>
          <cell r="C69" t="str">
            <v>MAQUINAS PESADAS</v>
          </cell>
          <cell r="D69">
            <v>46115</v>
          </cell>
          <cell r="E69" t="str">
            <v>Primária</v>
          </cell>
          <cell r="L69" t="str">
            <v>PREPARO</v>
          </cell>
          <cell r="O69" t="str">
            <v>CAMPO</v>
          </cell>
        </row>
        <row r="70">
          <cell r="A70">
            <v>200368</v>
          </cell>
          <cell r="B70">
            <v>13040002</v>
          </cell>
          <cell r="C70" t="str">
            <v>MAQUINAS PESADAS</v>
          </cell>
          <cell r="D70">
            <v>46112</v>
          </cell>
          <cell r="E70" t="str">
            <v>Primária</v>
          </cell>
          <cell r="L70" t="str">
            <v>PREPARO</v>
          </cell>
          <cell r="O70" t="str">
            <v>CAMPO</v>
          </cell>
        </row>
        <row r="71">
          <cell r="A71">
            <v>200367</v>
          </cell>
          <cell r="B71">
            <v>13100475</v>
          </cell>
          <cell r="C71" t="str">
            <v>TRATORES</v>
          </cell>
          <cell r="D71">
            <v>46115</v>
          </cell>
          <cell r="E71" t="str">
            <v>Primária</v>
          </cell>
          <cell r="L71" t="str">
            <v>PREPARO</v>
          </cell>
          <cell r="O71" t="str">
            <v>CAMPO</v>
          </cell>
        </row>
        <row r="72">
          <cell r="A72">
            <v>200366</v>
          </cell>
          <cell r="B72">
            <v>13100026</v>
          </cell>
          <cell r="C72" t="str">
            <v>TRATORES</v>
          </cell>
          <cell r="D72">
            <v>46115</v>
          </cell>
          <cell r="E72" t="str">
            <v>Primária</v>
          </cell>
          <cell r="L72" t="str">
            <v>PREPARO</v>
          </cell>
          <cell r="O72" t="str">
            <v>CAMPO</v>
          </cell>
        </row>
        <row r="73">
          <cell r="A73">
            <v>200365</v>
          </cell>
          <cell r="B73">
            <v>13100021</v>
          </cell>
          <cell r="C73" t="str">
            <v>TRATORES</v>
          </cell>
          <cell r="D73">
            <v>46111</v>
          </cell>
          <cell r="E73" t="str">
            <v>Primária</v>
          </cell>
          <cell r="L73" t="str">
            <v>PREPARO</v>
          </cell>
          <cell r="O73" t="str">
            <v>CAMPO</v>
          </cell>
        </row>
        <row r="74">
          <cell r="A74">
            <v>200364</v>
          </cell>
          <cell r="B74">
            <v>13100012</v>
          </cell>
          <cell r="C74" t="str">
            <v>TRATORES</v>
          </cell>
          <cell r="D74">
            <v>46112</v>
          </cell>
          <cell r="E74" t="str">
            <v>Primária</v>
          </cell>
          <cell r="L74" t="str">
            <v>PREPARO</v>
          </cell>
          <cell r="O74" t="str">
            <v>CAMPO</v>
          </cell>
        </row>
        <row r="75">
          <cell r="A75">
            <v>200363</v>
          </cell>
          <cell r="B75">
            <v>13090024</v>
          </cell>
          <cell r="C75" t="str">
            <v>TRATORES</v>
          </cell>
          <cell r="D75">
            <v>46113</v>
          </cell>
          <cell r="E75" t="str">
            <v>Primária</v>
          </cell>
          <cell r="L75" t="str">
            <v>PREPARO</v>
          </cell>
          <cell r="O75" t="str">
            <v>CAMPO</v>
          </cell>
        </row>
        <row r="76">
          <cell r="A76">
            <v>200362</v>
          </cell>
          <cell r="B76">
            <v>16210009</v>
          </cell>
          <cell r="C76" t="str">
            <v>IMPLEMENTOS RODOVIARIOS</v>
          </cell>
          <cell r="D76">
            <v>46114</v>
          </cell>
          <cell r="E76" t="str">
            <v>Primária</v>
          </cell>
          <cell r="L76" t="str">
            <v>PLANTIO</v>
          </cell>
          <cell r="O76" t="str">
            <v>INTERNA</v>
          </cell>
        </row>
        <row r="77">
          <cell r="A77">
            <v>200361</v>
          </cell>
          <cell r="B77">
            <v>15220600</v>
          </cell>
          <cell r="C77" t="str">
            <v>IMPLEMENTOS AGRICOLAS</v>
          </cell>
          <cell r="D77">
            <v>46112</v>
          </cell>
          <cell r="E77" t="str">
            <v>Primária</v>
          </cell>
          <cell r="L77" t="str">
            <v>PLANTIO</v>
          </cell>
          <cell r="O77" t="str">
            <v>CAMPO</v>
          </cell>
        </row>
        <row r="78">
          <cell r="A78">
            <v>200360</v>
          </cell>
          <cell r="B78">
            <v>15220599</v>
          </cell>
          <cell r="C78" t="str">
            <v>IMPLEMENTOS AGRICOLAS</v>
          </cell>
          <cell r="D78">
            <v>46111</v>
          </cell>
          <cell r="E78" t="str">
            <v>Primária</v>
          </cell>
          <cell r="L78" t="str">
            <v>PLANTIO</v>
          </cell>
          <cell r="O78" t="str">
            <v>CAMPO</v>
          </cell>
        </row>
        <row r="79">
          <cell r="A79">
            <v>200359</v>
          </cell>
          <cell r="B79">
            <v>15150003</v>
          </cell>
          <cell r="C79" t="str">
            <v>IMPLEMENTOS AGRICOLAS</v>
          </cell>
          <cell r="D79">
            <v>46114</v>
          </cell>
          <cell r="E79" t="str">
            <v>Primária</v>
          </cell>
          <cell r="L79" t="str">
            <v>PLANTIO</v>
          </cell>
          <cell r="O79" t="str">
            <v>CAMPO</v>
          </cell>
        </row>
        <row r="80">
          <cell r="A80">
            <v>200358</v>
          </cell>
          <cell r="B80">
            <v>15220103</v>
          </cell>
          <cell r="C80" t="str">
            <v>IMPLEMENTOS AGRICOLAS</v>
          </cell>
          <cell r="D80">
            <v>46113</v>
          </cell>
          <cell r="E80" t="str">
            <v>Primária</v>
          </cell>
          <cell r="L80" t="str">
            <v>PLANTIO</v>
          </cell>
          <cell r="O80" t="str">
            <v>CAMPO</v>
          </cell>
        </row>
        <row r="81">
          <cell r="A81">
            <v>200357</v>
          </cell>
          <cell r="B81">
            <v>15150002</v>
          </cell>
          <cell r="C81" t="str">
            <v>IMPLEMENTOS AGRICOLAS</v>
          </cell>
          <cell r="D81">
            <v>46111</v>
          </cell>
          <cell r="E81" t="str">
            <v>Primária</v>
          </cell>
          <cell r="L81" t="str">
            <v>PLANTIO</v>
          </cell>
          <cell r="O81" t="str">
            <v>CAMPO</v>
          </cell>
        </row>
        <row r="82">
          <cell r="A82">
            <v>200356</v>
          </cell>
          <cell r="B82">
            <v>15150001</v>
          </cell>
          <cell r="C82" t="str">
            <v>IMPLEMENTOS AGRICOLAS</v>
          </cell>
          <cell r="D82">
            <v>46112</v>
          </cell>
          <cell r="E82" t="str">
            <v>Primária</v>
          </cell>
          <cell r="L82" t="str">
            <v>PLANTIO</v>
          </cell>
          <cell r="O82" t="str">
            <v>CAMPO</v>
          </cell>
        </row>
        <row r="83">
          <cell r="A83">
            <v>200354</v>
          </cell>
          <cell r="B83">
            <v>11140046</v>
          </cell>
          <cell r="C83" t="str">
            <v>CAMINHOES</v>
          </cell>
          <cell r="D83">
            <v>46116</v>
          </cell>
          <cell r="E83" t="str">
            <v>Primária</v>
          </cell>
          <cell r="L83" t="str">
            <v>PLANTIO</v>
          </cell>
          <cell r="O83" t="str">
            <v>INTERNA</v>
          </cell>
        </row>
        <row r="84">
          <cell r="A84">
            <v>200353</v>
          </cell>
          <cell r="B84">
            <v>11140151</v>
          </cell>
          <cell r="C84" t="str">
            <v>CAMINHOES</v>
          </cell>
          <cell r="D84">
            <v>46114</v>
          </cell>
          <cell r="E84" t="str">
            <v>Primária</v>
          </cell>
          <cell r="L84" t="str">
            <v>PLANTIO</v>
          </cell>
          <cell r="O84" t="str">
            <v>INTERNA</v>
          </cell>
        </row>
        <row r="85">
          <cell r="A85">
            <v>200352</v>
          </cell>
          <cell r="B85">
            <v>11140149</v>
          </cell>
          <cell r="C85" t="str">
            <v>CAMINHOES</v>
          </cell>
          <cell r="D85">
            <v>46115</v>
          </cell>
          <cell r="E85" t="str">
            <v>Primária</v>
          </cell>
          <cell r="L85" t="str">
            <v>PLANTIO</v>
          </cell>
          <cell r="O85" t="str">
            <v>INTERNA</v>
          </cell>
        </row>
        <row r="86">
          <cell r="A86">
            <v>200351</v>
          </cell>
          <cell r="B86">
            <v>11120010</v>
          </cell>
          <cell r="C86" t="str">
            <v>CAMINHOES</v>
          </cell>
          <cell r="D86">
            <v>46112</v>
          </cell>
          <cell r="E86" t="str">
            <v>Primária</v>
          </cell>
          <cell r="L86" t="str">
            <v>PLANTIO</v>
          </cell>
          <cell r="O86" t="str">
            <v>INTERNA</v>
          </cell>
        </row>
        <row r="87">
          <cell r="A87">
            <v>200350</v>
          </cell>
          <cell r="B87">
            <v>11120008</v>
          </cell>
          <cell r="C87" t="str">
            <v>CAMINHOES</v>
          </cell>
          <cell r="D87">
            <v>46111</v>
          </cell>
          <cell r="E87" t="str">
            <v>Primária</v>
          </cell>
          <cell r="L87" t="str">
            <v>PLANTIO</v>
          </cell>
          <cell r="O87" t="str">
            <v>INTERNA</v>
          </cell>
        </row>
        <row r="88">
          <cell r="A88">
            <v>200349</v>
          </cell>
          <cell r="B88">
            <v>13100350</v>
          </cell>
          <cell r="C88" t="str">
            <v>TRATORES</v>
          </cell>
          <cell r="D88">
            <v>46111</v>
          </cell>
          <cell r="E88" t="str">
            <v>Primária</v>
          </cell>
          <cell r="L88" t="str">
            <v>PLANTIO</v>
          </cell>
          <cell r="O88" t="str">
            <v>CAMPO</v>
          </cell>
        </row>
        <row r="89">
          <cell r="A89">
            <v>200348</v>
          </cell>
          <cell r="B89">
            <v>13100346</v>
          </cell>
          <cell r="C89" t="str">
            <v>TRATORES</v>
          </cell>
          <cell r="D89">
            <v>46112</v>
          </cell>
          <cell r="E89" t="str">
            <v>Primária</v>
          </cell>
          <cell r="L89" t="str">
            <v>PLANTIO</v>
          </cell>
          <cell r="O89" t="str">
            <v>CAMPO</v>
          </cell>
        </row>
        <row r="90">
          <cell r="A90">
            <v>200347</v>
          </cell>
          <cell r="B90">
            <v>13090025</v>
          </cell>
          <cell r="C90" t="str">
            <v>TRATORES</v>
          </cell>
          <cell r="D90">
            <v>46112</v>
          </cell>
          <cell r="E90" t="str">
            <v>Primária</v>
          </cell>
          <cell r="L90" t="str">
            <v>PLANTIO</v>
          </cell>
          <cell r="O90" t="str">
            <v>CAMPO</v>
          </cell>
        </row>
        <row r="91">
          <cell r="A91">
            <v>200345</v>
          </cell>
          <cell r="B91">
            <v>13090021</v>
          </cell>
          <cell r="C91" t="str">
            <v>TRATORES</v>
          </cell>
          <cell r="D91">
            <v>46116</v>
          </cell>
          <cell r="E91" t="str">
            <v>Primária</v>
          </cell>
          <cell r="L91" t="str">
            <v>PLANTIO</v>
          </cell>
          <cell r="O91" t="str">
            <v>CAMPO</v>
          </cell>
        </row>
        <row r="92">
          <cell r="A92">
            <v>200344</v>
          </cell>
          <cell r="B92">
            <v>11020033</v>
          </cell>
          <cell r="C92" t="str">
            <v>CAMINHOES</v>
          </cell>
          <cell r="D92">
            <v>46116</v>
          </cell>
          <cell r="E92" t="str">
            <v>Primária</v>
          </cell>
          <cell r="L92" t="str">
            <v>INDÚSTRIA</v>
          </cell>
          <cell r="O92" t="str">
            <v>INTERNA</v>
          </cell>
        </row>
        <row r="93">
          <cell r="A93">
            <v>200343</v>
          </cell>
          <cell r="B93">
            <v>13050066</v>
          </cell>
          <cell r="C93" t="str">
            <v>MAQUINAS PESADAS</v>
          </cell>
          <cell r="D93">
            <v>46113</v>
          </cell>
          <cell r="E93" t="str">
            <v>Primária</v>
          </cell>
          <cell r="L93" t="str">
            <v>INDÚSTRIA</v>
          </cell>
          <cell r="O93" t="str">
            <v>CAMPO</v>
          </cell>
        </row>
        <row r="94">
          <cell r="A94">
            <v>200342</v>
          </cell>
          <cell r="B94">
            <v>13050010</v>
          </cell>
          <cell r="C94" t="str">
            <v>MAQUINAS PESADAS</v>
          </cell>
          <cell r="D94">
            <v>46111</v>
          </cell>
          <cell r="E94" t="str">
            <v>Primária</v>
          </cell>
          <cell r="L94" t="str">
            <v>INDÚSTRIA</v>
          </cell>
          <cell r="O94" t="str">
            <v>CAMPO</v>
          </cell>
        </row>
        <row r="95">
          <cell r="A95">
            <v>200341</v>
          </cell>
          <cell r="B95">
            <v>13100005</v>
          </cell>
          <cell r="C95" t="str">
            <v>TRATORES</v>
          </cell>
          <cell r="D95">
            <v>46112</v>
          </cell>
          <cell r="E95" t="str">
            <v>Primária</v>
          </cell>
          <cell r="L95" t="str">
            <v>INDÚSTRIA</v>
          </cell>
          <cell r="O95" t="str">
            <v>CAMPO</v>
          </cell>
        </row>
        <row r="96">
          <cell r="A96">
            <v>200340</v>
          </cell>
          <cell r="B96">
            <v>16070193</v>
          </cell>
          <cell r="C96" t="str">
            <v>IMPLEMENTOS RODOVIARIOS</v>
          </cell>
          <cell r="D96">
            <v>46112</v>
          </cell>
          <cell r="E96" t="str">
            <v>Primária</v>
          </cell>
          <cell r="L96" t="str">
            <v>COLHEITA</v>
          </cell>
          <cell r="O96" t="str">
            <v>INTERNA</v>
          </cell>
        </row>
        <row r="97">
          <cell r="A97">
            <v>200339</v>
          </cell>
          <cell r="B97">
            <v>16070192</v>
          </cell>
          <cell r="C97" t="str">
            <v>IMPLEMENTOS RODOVIARIOS</v>
          </cell>
          <cell r="D97">
            <v>46115</v>
          </cell>
          <cell r="E97" t="str">
            <v>Primária</v>
          </cell>
          <cell r="L97" t="str">
            <v>COLHEITA</v>
          </cell>
          <cell r="O97" t="str">
            <v>INTERNA</v>
          </cell>
        </row>
        <row r="98">
          <cell r="A98">
            <v>200338</v>
          </cell>
          <cell r="B98">
            <v>16070191</v>
          </cell>
          <cell r="C98" t="str">
            <v>IMPLEMENTOS RODOVIARIOS</v>
          </cell>
          <cell r="D98">
            <v>46111</v>
          </cell>
          <cell r="E98" t="str">
            <v>Primária</v>
          </cell>
          <cell r="L98" t="str">
            <v>COLHEITA</v>
          </cell>
          <cell r="O98" t="str">
            <v>INTERNA</v>
          </cell>
        </row>
        <row r="99">
          <cell r="A99">
            <v>200337</v>
          </cell>
          <cell r="B99">
            <v>16070184</v>
          </cell>
          <cell r="C99" t="str">
            <v>IMPLEMENTOS RODOVIARIOS</v>
          </cell>
          <cell r="D99">
            <v>46113</v>
          </cell>
          <cell r="E99" t="str">
            <v>Primária</v>
          </cell>
          <cell r="L99" t="str">
            <v>COLHEITA</v>
          </cell>
          <cell r="O99" t="str">
            <v>INTERNA</v>
          </cell>
        </row>
        <row r="100">
          <cell r="A100">
            <v>200336</v>
          </cell>
          <cell r="B100">
            <v>16070155</v>
          </cell>
          <cell r="C100" t="str">
            <v>IMPLEMENTOS RODOVIARIOS</v>
          </cell>
          <cell r="D100">
            <v>46111</v>
          </cell>
          <cell r="E100" t="str">
            <v>Primária</v>
          </cell>
          <cell r="L100" t="str">
            <v>COLHEITA</v>
          </cell>
          <cell r="O100" t="str">
            <v>INTERNA</v>
          </cell>
        </row>
        <row r="101">
          <cell r="A101">
            <v>200335</v>
          </cell>
          <cell r="B101">
            <v>16070153</v>
          </cell>
          <cell r="C101" t="str">
            <v>IMPLEMENTOS RODOVIARIOS</v>
          </cell>
          <cell r="D101">
            <v>46113</v>
          </cell>
          <cell r="E101" t="str">
            <v>Primária</v>
          </cell>
          <cell r="L101" t="str">
            <v>COLHEITA</v>
          </cell>
          <cell r="O101" t="str">
            <v>INTERNA</v>
          </cell>
        </row>
        <row r="102">
          <cell r="A102">
            <v>200334</v>
          </cell>
          <cell r="B102">
            <v>16070152</v>
          </cell>
          <cell r="C102" t="str">
            <v>IMPLEMENTOS RODOVIARIOS</v>
          </cell>
          <cell r="D102">
            <v>46116</v>
          </cell>
          <cell r="E102" t="str">
            <v>Primária</v>
          </cell>
          <cell r="L102" t="str">
            <v>COLHEITA</v>
          </cell>
          <cell r="O102" t="str">
            <v>INTERNA</v>
          </cell>
        </row>
        <row r="103">
          <cell r="A103">
            <v>200333</v>
          </cell>
          <cell r="B103">
            <v>16070149</v>
          </cell>
          <cell r="C103" t="str">
            <v>IMPLEMENTOS RODOVIARIOS</v>
          </cell>
          <cell r="D103">
            <v>46114</v>
          </cell>
          <cell r="E103" t="str">
            <v>Primária</v>
          </cell>
          <cell r="L103" t="str">
            <v>COLHEITA</v>
          </cell>
          <cell r="O103" t="str">
            <v>INTERNA</v>
          </cell>
        </row>
        <row r="104">
          <cell r="A104">
            <v>200332</v>
          </cell>
          <cell r="B104">
            <v>16070148</v>
          </cell>
          <cell r="C104" t="str">
            <v>IMPLEMENTOS RODOVIARIOS</v>
          </cell>
          <cell r="D104">
            <v>46115</v>
          </cell>
          <cell r="E104" t="str">
            <v>Primária</v>
          </cell>
          <cell r="L104" t="str">
            <v>COLHEITA</v>
          </cell>
          <cell r="O104" t="str">
            <v>INTERNA</v>
          </cell>
        </row>
        <row r="105">
          <cell r="A105">
            <v>200331</v>
          </cell>
          <cell r="B105">
            <v>16070147</v>
          </cell>
          <cell r="C105" t="str">
            <v>IMPLEMENTOS RODOVIARIOS</v>
          </cell>
          <cell r="D105">
            <v>46114</v>
          </cell>
          <cell r="E105" t="str">
            <v>Primária</v>
          </cell>
          <cell r="L105" t="str">
            <v>COLHEITA</v>
          </cell>
          <cell r="O105" t="str">
            <v>INTERNA</v>
          </cell>
        </row>
        <row r="106">
          <cell r="A106">
            <v>200330</v>
          </cell>
          <cell r="B106">
            <v>16070146</v>
          </cell>
          <cell r="C106" t="str">
            <v>IMPLEMENTOS RODOVIARIOS</v>
          </cell>
          <cell r="D106">
            <v>46115</v>
          </cell>
          <cell r="E106" t="str">
            <v>Primária</v>
          </cell>
          <cell r="L106" t="str">
            <v>COLHEITA</v>
          </cell>
          <cell r="O106" t="str">
            <v>INTERNA</v>
          </cell>
        </row>
        <row r="107">
          <cell r="A107">
            <v>200329</v>
          </cell>
          <cell r="B107">
            <v>16020823</v>
          </cell>
          <cell r="C107" t="str">
            <v>IMPLEMENTOS RODOVIARIOS</v>
          </cell>
          <cell r="D107">
            <v>46115</v>
          </cell>
          <cell r="E107" t="str">
            <v>Primária</v>
          </cell>
          <cell r="L107" t="str">
            <v>COLHEITA</v>
          </cell>
          <cell r="O107" t="str">
            <v>INTERNA</v>
          </cell>
        </row>
        <row r="108">
          <cell r="A108">
            <v>200328</v>
          </cell>
          <cell r="B108">
            <v>16020821</v>
          </cell>
          <cell r="C108" t="str">
            <v>IMPLEMENTOS RODOVIARIOS</v>
          </cell>
          <cell r="D108">
            <v>46113</v>
          </cell>
          <cell r="E108" t="str">
            <v>Primária</v>
          </cell>
          <cell r="L108" t="str">
            <v>COLHEITA</v>
          </cell>
          <cell r="O108" t="str">
            <v>INTERNA</v>
          </cell>
        </row>
        <row r="109">
          <cell r="A109">
            <v>200327</v>
          </cell>
          <cell r="B109">
            <v>16020820</v>
          </cell>
          <cell r="C109" t="str">
            <v>IMPLEMENTOS RODOVIARIOS</v>
          </cell>
          <cell r="D109">
            <v>46114</v>
          </cell>
          <cell r="E109" t="str">
            <v>Primária</v>
          </cell>
          <cell r="L109" t="str">
            <v>COLHEITA</v>
          </cell>
          <cell r="O109" t="str">
            <v>INTERNA</v>
          </cell>
        </row>
        <row r="110">
          <cell r="A110">
            <v>200326</v>
          </cell>
          <cell r="B110">
            <v>16020819</v>
          </cell>
          <cell r="C110" t="str">
            <v>IMPLEMENTOS RODOVIARIOS</v>
          </cell>
          <cell r="D110">
            <v>46113</v>
          </cell>
          <cell r="E110" t="str">
            <v>Primária</v>
          </cell>
          <cell r="L110" t="str">
            <v>COLHEITA</v>
          </cell>
          <cell r="O110" t="str">
            <v>INTERNA</v>
          </cell>
        </row>
        <row r="111">
          <cell r="A111">
            <v>200325</v>
          </cell>
          <cell r="B111">
            <v>16020817</v>
          </cell>
          <cell r="C111" t="str">
            <v>IMPLEMENTOS RODOVIARIOS</v>
          </cell>
          <cell r="D111">
            <v>46112</v>
          </cell>
          <cell r="E111" t="str">
            <v>Primária</v>
          </cell>
          <cell r="L111" t="str">
            <v>COLHEITA</v>
          </cell>
          <cell r="O111" t="str">
            <v>INTERNA</v>
          </cell>
        </row>
        <row r="112">
          <cell r="A112">
            <v>200324</v>
          </cell>
          <cell r="B112">
            <v>16020815</v>
          </cell>
          <cell r="C112" t="str">
            <v>IMPLEMENTOS RODOVIARIOS</v>
          </cell>
          <cell r="D112">
            <v>46113</v>
          </cell>
          <cell r="E112" t="str">
            <v>Primária</v>
          </cell>
          <cell r="L112" t="str">
            <v>COLHEITA</v>
          </cell>
          <cell r="O112" t="str">
            <v>INTERNA</v>
          </cell>
        </row>
        <row r="113">
          <cell r="A113">
            <v>200323</v>
          </cell>
          <cell r="B113">
            <v>16020812</v>
          </cell>
          <cell r="C113" t="str">
            <v>IMPLEMENTOS RODOVIARIOS</v>
          </cell>
          <cell r="D113">
            <v>46115</v>
          </cell>
          <cell r="E113" t="str">
            <v>Primária</v>
          </cell>
          <cell r="L113" t="str">
            <v>COLHEITA</v>
          </cell>
          <cell r="O113" t="str">
            <v>INTERNA</v>
          </cell>
        </row>
        <row r="114">
          <cell r="A114">
            <v>200322</v>
          </cell>
          <cell r="B114">
            <v>16020809</v>
          </cell>
          <cell r="C114" t="str">
            <v>IMPLEMENTOS RODOVIARIOS</v>
          </cell>
          <cell r="D114">
            <v>46111</v>
          </cell>
          <cell r="E114" t="str">
            <v>Primária</v>
          </cell>
          <cell r="L114" t="str">
            <v>COLHEITA</v>
          </cell>
          <cell r="O114" t="str">
            <v>INTERNA</v>
          </cell>
        </row>
        <row r="115">
          <cell r="A115">
            <v>200321</v>
          </cell>
          <cell r="B115">
            <v>16020808</v>
          </cell>
          <cell r="C115" t="str">
            <v>IMPLEMENTOS RODOVIARIOS</v>
          </cell>
          <cell r="D115">
            <v>46115</v>
          </cell>
          <cell r="E115" t="str">
            <v>Primária</v>
          </cell>
          <cell r="L115" t="str">
            <v>COLHEITA</v>
          </cell>
          <cell r="O115" t="str">
            <v>INTERNA</v>
          </cell>
        </row>
        <row r="116">
          <cell r="A116">
            <v>200320</v>
          </cell>
          <cell r="B116">
            <v>16020805</v>
          </cell>
          <cell r="C116" t="str">
            <v>IMPLEMENTOS RODOVIARIOS</v>
          </cell>
          <cell r="D116">
            <v>46116</v>
          </cell>
          <cell r="E116" t="str">
            <v>Primária</v>
          </cell>
          <cell r="L116" t="str">
            <v>COLHEITA</v>
          </cell>
          <cell r="O116" t="str">
            <v>INTERNA</v>
          </cell>
        </row>
        <row r="117">
          <cell r="A117">
            <v>200319</v>
          </cell>
          <cell r="B117">
            <v>16020803</v>
          </cell>
          <cell r="C117" t="str">
            <v>IMPLEMENTOS RODOVIARIOS</v>
          </cell>
          <cell r="D117">
            <v>46112</v>
          </cell>
          <cell r="E117" t="str">
            <v>Primária</v>
          </cell>
          <cell r="L117" t="str">
            <v>COLHEITA</v>
          </cell>
          <cell r="O117" t="str">
            <v>INTERNA</v>
          </cell>
        </row>
        <row r="118">
          <cell r="A118">
            <v>200318</v>
          </cell>
          <cell r="B118">
            <v>16070078</v>
          </cell>
          <cell r="C118" t="str">
            <v>IMPLEMENTOS RODOVIARIOS</v>
          </cell>
          <cell r="D118">
            <v>46111</v>
          </cell>
          <cell r="E118" t="str">
            <v>Primária</v>
          </cell>
          <cell r="L118" t="str">
            <v>COLHEITA</v>
          </cell>
          <cell r="O118" t="str">
            <v>INTERNA</v>
          </cell>
        </row>
        <row r="119">
          <cell r="A119">
            <v>200317</v>
          </cell>
          <cell r="B119">
            <v>16070050</v>
          </cell>
          <cell r="C119" t="str">
            <v>IMPLEMENTOS RODOVIARIOS</v>
          </cell>
          <cell r="D119">
            <v>46112</v>
          </cell>
          <cell r="E119" t="str">
            <v>Primária</v>
          </cell>
          <cell r="L119" t="str">
            <v>COLHEITA</v>
          </cell>
          <cell r="O119" t="str">
            <v>INTERNA</v>
          </cell>
        </row>
        <row r="120">
          <cell r="A120">
            <v>200316</v>
          </cell>
          <cell r="B120">
            <v>16070048</v>
          </cell>
          <cell r="C120" t="str">
            <v>IMPLEMENTOS RODOVIARIOS</v>
          </cell>
          <cell r="D120">
            <v>46115</v>
          </cell>
          <cell r="E120" t="str">
            <v>Primária</v>
          </cell>
          <cell r="L120" t="str">
            <v>COLHEITA</v>
          </cell>
          <cell r="O120" t="str">
            <v>INTERNA</v>
          </cell>
        </row>
        <row r="121">
          <cell r="A121">
            <v>200315</v>
          </cell>
          <cell r="B121">
            <v>16070039</v>
          </cell>
          <cell r="C121" t="str">
            <v>IMPLEMENTOS RODOVIARIOS</v>
          </cell>
          <cell r="D121">
            <v>46114</v>
          </cell>
          <cell r="E121" t="str">
            <v>Primária</v>
          </cell>
          <cell r="L121" t="str">
            <v>COLHEITA</v>
          </cell>
          <cell r="O121" t="str">
            <v>INTERNA</v>
          </cell>
        </row>
        <row r="122">
          <cell r="A122">
            <v>200314</v>
          </cell>
          <cell r="B122">
            <v>16020471</v>
          </cell>
          <cell r="C122" t="str">
            <v>IMPLEMENTOS RODOVIARIOS</v>
          </cell>
          <cell r="D122">
            <v>46112</v>
          </cell>
          <cell r="E122" t="str">
            <v>Primária</v>
          </cell>
          <cell r="L122" t="str">
            <v>COLHEITA</v>
          </cell>
          <cell r="O122" t="str">
            <v>INTERNA</v>
          </cell>
        </row>
        <row r="123">
          <cell r="A123">
            <v>200313</v>
          </cell>
          <cell r="B123">
            <v>16020469</v>
          </cell>
          <cell r="C123" t="str">
            <v>IMPLEMENTOS RODOVIARIOS</v>
          </cell>
          <cell r="D123">
            <v>46115</v>
          </cell>
          <cell r="E123" t="str">
            <v>Primária</v>
          </cell>
          <cell r="L123" t="str">
            <v>COLHEITA</v>
          </cell>
          <cell r="O123" t="str">
            <v>INTERNA</v>
          </cell>
        </row>
        <row r="124">
          <cell r="A124">
            <v>200312</v>
          </cell>
          <cell r="B124">
            <v>16020155</v>
          </cell>
          <cell r="C124" t="str">
            <v>IMPLEMENTOS RODOVIARIOS</v>
          </cell>
          <cell r="D124">
            <v>46111</v>
          </cell>
          <cell r="E124" t="str">
            <v>Primária</v>
          </cell>
          <cell r="L124" t="str">
            <v>COLHEITA</v>
          </cell>
          <cell r="O124" t="str">
            <v>INTERNA</v>
          </cell>
        </row>
        <row r="125">
          <cell r="A125">
            <v>200311</v>
          </cell>
          <cell r="B125">
            <v>11060209</v>
          </cell>
          <cell r="C125" t="str">
            <v>CAMINHOES</v>
          </cell>
          <cell r="D125">
            <v>46111</v>
          </cell>
          <cell r="E125" t="str">
            <v>Primária</v>
          </cell>
          <cell r="L125" t="str">
            <v>COLHEITA</v>
          </cell>
          <cell r="O125" t="str">
            <v>INTERNA</v>
          </cell>
        </row>
        <row r="126">
          <cell r="A126">
            <v>200310</v>
          </cell>
          <cell r="B126">
            <v>11060096</v>
          </cell>
          <cell r="C126" t="str">
            <v>CAMINHOES</v>
          </cell>
          <cell r="D126">
            <v>46116</v>
          </cell>
          <cell r="E126" t="str">
            <v>Primária</v>
          </cell>
          <cell r="L126" t="str">
            <v>COLHEITA</v>
          </cell>
          <cell r="O126" t="str">
            <v>INTERNA</v>
          </cell>
        </row>
        <row r="127">
          <cell r="A127">
            <v>200309</v>
          </cell>
          <cell r="B127">
            <v>11060095</v>
          </cell>
          <cell r="C127" t="str">
            <v>CAMINHOES</v>
          </cell>
          <cell r="D127">
            <v>46115</v>
          </cell>
          <cell r="E127" t="str">
            <v>Primária</v>
          </cell>
          <cell r="L127" t="str">
            <v>COLHEITA</v>
          </cell>
          <cell r="O127" t="str">
            <v>INTERNA</v>
          </cell>
        </row>
        <row r="128">
          <cell r="A128">
            <v>200308</v>
          </cell>
          <cell r="B128">
            <v>11060093</v>
          </cell>
          <cell r="C128" t="str">
            <v>CAMINHOES</v>
          </cell>
          <cell r="D128">
            <v>46115</v>
          </cell>
          <cell r="E128" t="str">
            <v>Primária</v>
          </cell>
          <cell r="L128" t="str">
            <v>COLHEITA</v>
          </cell>
          <cell r="O128" t="str">
            <v>INTERNA</v>
          </cell>
        </row>
        <row r="129">
          <cell r="A129">
            <v>200307</v>
          </cell>
          <cell r="B129">
            <v>11060071</v>
          </cell>
          <cell r="C129" t="str">
            <v>CAMINHOES</v>
          </cell>
          <cell r="D129">
            <v>46115</v>
          </cell>
          <cell r="E129" t="str">
            <v>Primária</v>
          </cell>
          <cell r="L129" t="str">
            <v>COLHEITA</v>
          </cell>
          <cell r="O129" t="str">
            <v>INTERNA</v>
          </cell>
        </row>
        <row r="130">
          <cell r="A130">
            <v>200306</v>
          </cell>
          <cell r="B130">
            <v>11060070</v>
          </cell>
          <cell r="C130" t="str">
            <v>CAMINHOES</v>
          </cell>
          <cell r="D130">
            <v>46112</v>
          </cell>
          <cell r="E130" t="str">
            <v>Primária</v>
          </cell>
          <cell r="L130" t="str">
            <v>COLHEITA</v>
          </cell>
          <cell r="O130" t="str">
            <v>INTERNA</v>
          </cell>
        </row>
        <row r="131">
          <cell r="A131">
            <v>200305</v>
          </cell>
          <cell r="B131">
            <v>11060061</v>
          </cell>
          <cell r="C131" t="str">
            <v>CAMINHOES</v>
          </cell>
          <cell r="D131">
            <v>46114</v>
          </cell>
          <cell r="E131" t="str">
            <v>Primária</v>
          </cell>
          <cell r="L131" t="str">
            <v>COLHEITA</v>
          </cell>
          <cell r="O131" t="str">
            <v>INTERNA</v>
          </cell>
        </row>
        <row r="132">
          <cell r="A132">
            <v>200304</v>
          </cell>
          <cell r="B132">
            <v>15220693</v>
          </cell>
          <cell r="C132" t="str">
            <v>IMPLEMENTOS AGRICOLAS</v>
          </cell>
          <cell r="D132">
            <v>46115</v>
          </cell>
          <cell r="E132" t="str">
            <v>Primária</v>
          </cell>
          <cell r="L132" t="str">
            <v>COLHEITA</v>
          </cell>
          <cell r="O132" t="str">
            <v>CAMPO</v>
          </cell>
        </row>
        <row r="133">
          <cell r="A133">
            <v>200303</v>
          </cell>
          <cell r="B133">
            <v>15220224</v>
          </cell>
          <cell r="C133" t="str">
            <v>IMPLEMENTOS AGRICOLAS</v>
          </cell>
          <cell r="D133">
            <v>46112</v>
          </cell>
          <cell r="E133" t="str">
            <v>Primária</v>
          </cell>
          <cell r="L133" t="str">
            <v>COLHEITA</v>
          </cell>
          <cell r="O133" t="str">
            <v>CAMPO</v>
          </cell>
        </row>
        <row r="134">
          <cell r="A134">
            <v>200302</v>
          </cell>
          <cell r="B134">
            <v>15220071</v>
          </cell>
          <cell r="C134" t="str">
            <v>IMPLEMENTOS AGRICOLAS</v>
          </cell>
          <cell r="D134">
            <v>46116</v>
          </cell>
          <cell r="E134" t="str">
            <v>Primária</v>
          </cell>
          <cell r="L134" t="str">
            <v>COLHEITA</v>
          </cell>
          <cell r="O134" t="str">
            <v>CAMPO</v>
          </cell>
        </row>
        <row r="135">
          <cell r="A135">
            <v>200301</v>
          </cell>
          <cell r="B135">
            <v>15220663</v>
          </cell>
          <cell r="C135" t="str">
            <v>IMPLEMENTOS AGRICOLAS</v>
          </cell>
          <cell r="D135">
            <v>46114</v>
          </cell>
          <cell r="E135" t="str">
            <v>Primária</v>
          </cell>
          <cell r="L135" t="str">
            <v>COLHEITA</v>
          </cell>
          <cell r="O135" t="str">
            <v>CAMPO</v>
          </cell>
        </row>
        <row r="136">
          <cell r="A136">
            <v>200300</v>
          </cell>
          <cell r="B136">
            <v>15220658</v>
          </cell>
          <cell r="C136" t="str">
            <v>IMPLEMENTOS AGRICOLAS</v>
          </cell>
          <cell r="D136">
            <v>46113</v>
          </cell>
          <cell r="E136" t="str">
            <v>Primária</v>
          </cell>
          <cell r="L136" t="str">
            <v>COLHEITA</v>
          </cell>
          <cell r="O136" t="str">
            <v>CAMPO</v>
          </cell>
        </row>
        <row r="137">
          <cell r="A137">
            <v>200299</v>
          </cell>
          <cell r="B137">
            <v>15220132</v>
          </cell>
          <cell r="C137" t="str">
            <v>IMPLEMENTOS AGRICOLAS</v>
          </cell>
          <cell r="D137">
            <v>46111</v>
          </cell>
          <cell r="E137" t="str">
            <v>Primária</v>
          </cell>
          <cell r="L137" t="str">
            <v>COLHEITA</v>
          </cell>
          <cell r="O137" t="str">
            <v>CAMPO</v>
          </cell>
        </row>
        <row r="138">
          <cell r="A138">
            <v>200298</v>
          </cell>
          <cell r="B138">
            <v>15220039</v>
          </cell>
          <cell r="C138" t="str">
            <v>IMPLEMENTOS AGRICOLAS</v>
          </cell>
          <cell r="D138">
            <v>46115</v>
          </cell>
          <cell r="E138" t="str">
            <v>Primária</v>
          </cell>
          <cell r="L138" t="str">
            <v>COLHEITA</v>
          </cell>
          <cell r="O138" t="str">
            <v>CAMPO</v>
          </cell>
        </row>
        <row r="139">
          <cell r="A139">
            <v>200297</v>
          </cell>
          <cell r="B139">
            <v>15220007</v>
          </cell>
          <cell r="C139" t="str">
            <v>IMPLEMENTOS AGRICOLAS</v>
          </cell>
          <cell r="D139">
            <v>46114</v>
          </cell>
          <cell r="E139" t="str">
            <v>Primária</v>
          </cell>
          <cell r="L139" t="str">
            <v>COLHEITA</v>
          </cell>
          <cell r="O139" t="str">
            <v>CAMPO</v>
          </cell>
        </row>
        <row r="140">
          <cell r="A140">
            <v>200296</v>
          </cell>
          <cell r="B140">
            <v>15220003</v>
          </cell>
          <cell r="C140" t="str">
            <v>IMPLEMENTOS AGRICOLAS</v>
          </cell>
          <cell r="D140">
            <v>46112</v>
          </cell>
          <cell r="E140" t="str">
            <v>Primária</v>
          </cell>
          <cell r="L140" t="str">
            <v>COLHEITA</v>
          </cell>
          <cell r="O140" t="str">
            <v>CAMPO</v>
          </cell>
        </row>
        <row r="141">
          <cell r="A141">
            <v>200295</v>
          </cell>
          <cell r="B141">
            <v>15220001</v>
          </cell>
          <cell r="C141" t="str">
            <v>IMPLEMENTOS AGRICOLAS</v>
          </cell>
          <cell r="D141">
            <v>46111</v>
          </cell>
          <cell r="E141" t="str">
            <v>Primária</v>
          </cell>
          <cell r="L141" t="str">
            <v>COLHEITA</v>
          </cell>
          <cell r="O141" t="str">
            <v>CAMPO</v>
          </cell>
        </row>
        <row r="142">
          <cell r="A142">
            <v>200294</v>
          </cell>
          <cell r="B142">
            <v>13100489</v>
          </cell>
          <cell r="C142" t="str">
            <v>TRATORES</v>
          </cell>
          <cell r="D142">
            <v>46113</v>
          </cell>
          <cell r="E142" t="str">
            <v>Primária</v>
          </cell>
          <cell r="L142" t="str">
            <v>COLHEITA</v>
          </cell>
          <cell r="O142" t="str">
            <v>CAMPO</v>
          </cell>
        </row>
        <row r="143">
          <cell r="A143">
            <v>200293</v>
          </cell>
          <cell r="B143">
            <v>13100016</v>
          </cell>
          <cell r="C143" t="str">
            <v>TRATORES</v>
          </cell>
          <cell r="D143">
            <v>46113</v>
          </cell>
          <cell r="E143" t="str">
            <v>Primária</v>
          </cell>
          <cell r="L143" t="str">
            <v>COLHEITA</v>
          </cell>
          <cell r="O143" t="str">
            <v>CAMPO</v>
          </cell>
        </row>
        <row r="144">
          <cell r="A144">
            <v>200292</v>
          </cell>
          <cell r="B144">
            <v>13100382</v>
          </cell>
          <cell r="C144" t="str">
            <v>TRATORES</v>
          </cell>
          <cell r="D144">
            <v>46112</v>
          </cell>
          <cell r="E144" t="str">
            <v>Primária</v>
          </cell>
          <cell r="L144" t="str">
            <v>COLHEITA</v>
          </cell>
          <cell r="O144" t="str">
            <v>CAMPO</v>
          </cell>
        </row>
        <row r="145">
          <cell r="A145">
            <v>200291</v>
          </cell>
          <cell r="B145">
            <v>13100025</v>
          </cell>
          <cell r="C145" t="str">
            <v>TRATORES</v>
          </cell>
          <cell r="D145">
            <v>46116</v>
          </cell>
          <cell r="E145" t="str">
            <v>Primária</v>
          </cell>
          <cell r="L145" t="str">
            <v>COLHEITA</v>
          </cell>
          <cell r="O145" t="str">
            <v>CAMPO</v>
          </cell>
        </row>
        <row r="146">
          <cell r="A146">
            <v>200290</v>
          </cell>
          <cell r="B146">
            <v>13100022</v>
          </cell>
          <cell r="C146" t="str">
            <v>TRATORES</v>
          </cell>
          <cell r="D146">
            <v>46113</v>
          </cell>
          <cell r="E146" t="str">
            <v>Primária</v>
          </cell>
          <cell r="L146" t="str">
            <v>COLHEITA</v>
          </cell>
          <cell r="O146" t="str">
            <v>CAMPO</v>
          </cell>
        </row>
        <row r="147">
          <cell r="A147">
            <v>200289</v>
          </cell>
          <cell r="B147">
            <v>13100019</v>
          </cell>
          <cell r="C147" t="str">
            <v>TRATORES</v>
          </cell>
          <cell r="D147">
            <v>46116</v>
          </cell>
          <cell r="E147" t="str">
            <v>Primária</v>
          </cell>
          <cell r="L147" t="str">
            <v>COLHEITA</v>
          </cell>
          <cell r="O147" t="str">
            <v>CAMPO</v>
          </cell>
        </row>
        <row r="148">
          <cell r="A148">
            <v>200288</v>
          </cell>
          <cell r="B148">
            <v>13100017</v>
          </cell>
          <cell r="C148" t="str">
            <v>TRATORES</v>
          </cell>
          <cell r="D148">
            <v>46113</v>
          </cell>
          <cell r="E148" t="str">
            <v>Primária</v>
          </cell>
          <cell r="L148" t="str">
            <v>COLHEITA</v>
          </cell>
          <cell r="O148" t="str">
            <v>CAMPO</v>
          </cell>
        </row>
        <row r="149">
          <cell r="A149">
            <v>200287</v>
          </cell>
          <cell r="B149">
            <v>13090324</v>
          </cell>
          <cell r="C149" t="str">
            <v>TRATORES</v>
          </cell>
          <cell r="D149">
            <v>46115</v>
          </cell>
          <cell r="E149" t="str">
            <v>Primária</v>
          </cell>
          <cell r="L149" t="str">
            <v>COLHEITA</v>
          </cell>
          <cell r="O149" t="str">
            <v>CAMPO</v>
          </cell>
        </row>
        <row r="150">
          <cell r="A150">
            <v>200286</v>
          </cell>
          <cell r="B150">
            <v>12010023</v>
          </cell>
          <cell r="C150" t="str">
            <v>VEICULOS LEVES</v>
          </cell>
          <cell r="D150">
            <v>46111</v>
          </cell>
          <cell r="E150" t="str">
            <v>Primária</v>
          </cell>
          <cell r="L150" t="str">
            <v>APOIO</v>
          </cell>
          <cell r="O150" t="str">
            <v>INTERNA</v>
          </cell>
        </row>
        <row r="151">
          <cell r="A151">
            <v>200285</v>
          </cell>
          <cell r="B151">
            <v>11040039</v>
          </cell>
          <cell r="C151" t="str">
            <v>CAMINHOES</v>
          </cell>
          <cell r="D151">
            <v>46111</v>
          </cell>
          <cell r="E151" t="str">
            <v>Primária</v>
          </cell>
          <cell r="L151" t="str">
            <v>APOIO</v>
          </cell>
          <cell r="O151" t="str">
            <v>INTERNA</v>
          </cell>
        </row>
        <row r="152">
          <cell r="A152">
            <v>200284</v>
          </cell>
          <cell r="B152">
            <v>11120142</v>
          </cell>
          <cell r="C152" t="str">
            <v>CAMINHOES</v>
          </cell>
          <cell r="D152">
            <v>46114</v>
          </cell>
          <cell r="E152" t="str">
            <v>Primária</v>
          </cell>
          <cell r="L152" t="str">
            <v>APOIO</v>
          </cell>
          <cell r="O152" t="str">
            <v>INTERNA</v>
          </cell>
        </row>
        <row r="153">
          <cell r="A153">
            <v>200283</v>
          </cell>
          <cell r="B153">
            <v>11120141</v>
          </cell>
          <cell r="C153" t="str">
            <v>CAMINHOES</v>
          </cell>
          <cell r="D153">
            <v>46113</v>
          </cell>
          <cell r="E153" t="str">
            <v>Primária</v>
          </cell>
          <cell r="L153" t="str">
            <v>APOIO</v>
          </cell>
          <cell r="O153" t="str">
            <v>INTERNA</v>
          </cell>
        </row>
        <row r="154">
          <cell r="A154">
            <v>200281</v>
          </cell>
          <cell r="B154">
            <v>11120127</v>
          </cell>
          <cell r="C154" t="str">
            <v>CAMINHOES</v>
          </cell>
          <cell r="D154">
            <v>46111</v>
          </cell>
          <cell r="E154" t="str">
            <v>Primária</v>
          </cell>
          <cell r="L154" t="str">
            <v>APOIO</v>
          </cell>
          <cell r="O154" t="str">
            <v>INTERNA</v>
          </cell>
        </row>
        <row r="155">
          <cell r="A155">
            <v>200280</v>
          </cell>
          <cell r="B155">
            <v>11120128</v>
          </cell>
          <cell r="C155" t="str">
            <v>CAMINHOES</v>
          </cell>
          <cell r="D155">
            <v>46112</v>
          </cell>
          <cell r="E155" t="str">
            <v>Primária</v>
          </cell>
          <cell r="L155" t="str">
            <v>APOIO</v>
          </cell>
          <cell r="O155" t="str">
            <v>INTERNA</v>
          </cell>
        </row>
        <row r="156">
          <cell r="A156">
            <v>200279</v>
          </cell>
          <cell r="B156">
            <v>11120126</v>
          </cell>
          <cell r="C156" t="str">
            <v>CAMINHOES</v>
          </cell>
          <cell r="D156">
            <v>46111</v>
          </cell>
          <cell r="E156" t="str">
            <v>Primária</v>
          </cell>
          <cell r="L156" t="str">
            <v>APOIO</v>
          </cell>
          <cell r="O156" t="str">
            <v>INTERNA</v>
          </cell>
        </row>
        <row r="157">
          <cell r="A157">
            <v>200278</v>
          </cell>
          <cell r="B157">
            <v>11050051</v>
          </cell>
          <cell r="C157" t="str">
            <v>CAMINHOES</v>
          </cell>
          <cell r="D157">
            <v>46113</v>
          </cell>
          <cell r="E157" t="str">
            <v>Primária</v>
          </cell>
          <cell r="L157" t="str">
            <v>APOIO</v>
          </cell>
          <cell r="O157" t="str">
            <v>INTERNA</v>
          </cell>
        </row>
        <row r="158">
          <cell r="A158">
            <v>200277</v>
          </cell>
          <cell r="B158">
            <v>11120125</v>
          </cell>
          <cell r="C158" t="str">
            <v>CAMINHOES</v>
          </cell>
          <cell r="D158">
            <v>46113</v>
          </cell>
          <cell r="E158" t="str">
            <v>Primária</v>
          </cell>
          <cell r="L158" t="str">
            <v>APOIO</v>
          </cell>
          <cell r="O158" t="str">
            <v>INTERNA</v>
          </cell>
        </row>
        <row r="159">
          <cell r="A159">
            <v>200276</v>
          </cell>
          <cell r="B159">
            <v>11120115</v>
          </cell>
          <cell r="C159" t="str">
            <v>CAMINHOES</v>
          </cell>
          <cell r="D159">
            <v>46114</v>
          </cell>
          <cell r="E159" t="str">
            <v>Primária</v>
          </cell>
          <cell r="L159" t="str">
            <v>APOIO</v>
          </cell>
          <cell r="O159" t="str">
            <v>INTERNA</v>
          </cell>
        </row>
        <row r="160">
          <cell r="A160">
            <v>200275</v>
          </cell>
          <cell r="B160">
            <v>11220037</v>
          </cell>
          <cell r="C160" t="str">
            <v>CAMINHOES</v>
          </cell>
          <cell r="D160">
            <v>46112</v>
          </cell>
          <cell r="E160" t="str">
            <v>Primária</v>
          </cell>
          <cell r="L160" t="str">
            <v>APOIO</v>
          </cell>
          <cell r="O160" t="str">
            <v>INTERNA</v>
          </cell>
        </row>
        <row r="161">
          <cell r="A161">
            <v>200274</v>
          </cell>
          <cell r="B161">
            <v>11120011</v>
          </cell>
          <cell r="C161" t="str">
            <v>CAMINHOES</v>
          </cell>
          <cell r="D161">
            <v>46115</v>
          </cell>
          <cell r="E161" t="str">
            <v>Primária</v>
          </cell>
          <cell r="L161" t="str">
            <v>APOIO</v>
          </cell>
          <cell r="O161" t="str">
            <v>INTERNA</v>
          </cell>
        </row>
        <row r="162">
          <cell r="A162">
            <v>200273</v>
          </cell>
          <cell r="B162">
            <v>11120004</v>
          </cell>
          <cell r="C162" t="str">
            <v>CAMINHOES</v>
          </cell>
          <cell r="D162">
            <v>46116</v>
          </cell>
          <cell r="E162" t="str">
            <v>Primária</v>
          </cell>
          <cell r="L162" t="str">
            <v>APOIO</v>
          </cell>
          <cell r="O162" t="str">
            <v>INTERNA</v>
          </cell>
        </row>
        <row r="163">
          <cell r="A163">
            <v>200272</v>
          </cell>
          <cell r="B163">
            <v>11020001</v>
          </cell>
          <cell r="C163" t="str">
            <v>CAMINHOES</v>
          </cell>
          <cell r="D163">
            <v>46111</v>
          </cell>
          <cell r="E163" t="str">
            <v>Primária</v>
          </cell>
          <cell r="L163" t="str">
            <v>APOIO</v>
          </cell>
          <cell r="O163" t="str">
            <v>INTERNA</v>
          </cell>
        </row>
        <row r="164">
          <cell r="A164">
            <v>200271</v>
          </cell>
          <cell r="B164">
            <v>13050008</v>
          </cell>
          <cell r="C164" t="str">
            <v>MAQUINAS PESADAS</v>
          </cell>
          <cell r="D164">
            <v>46111</v>
          </cell>
          <cell r="E164" t="str">
            <v>Primária</v>
          </cell>
          <cell r="L164" t="str">
            <v>APOIO</v>
          </cell>
          <cell r="O164" t="str">
            <v>CAMPO</v>
          </cell>
        </row>
        <row r="165">
          <cell r="A165">
            <v>200270</v>
          </cell>
          <cell r="B165">
            <v>13040001</v>
          </cell>
          <cell r="C165" t="str">
            <v>MAQUINAS PESADAS</v>
          </cell>
          <cell r="D165">
            <v>46114</v>
          </cell>
          <cell r="E165" t="str">
            <v>Primária</v>
          </cell>
          <cell r="L165" t="str">
            <v>APOIO</v>
          </cell>
          <cell r="O165" t="str">
            <v>CAMPO</v>
          </cell>
        </row>
        <row r="166">
          <cell r="A166">
            <v>200269</v>
          </cell>
          <cell r="B166">
            <v>13090027</v>
          </cell>
          <cell r="C166" t="str">
            <v>TRATORES</v>
          </cell>
          <cell r="D166">
            <v>46111</v>
          </cell>
          <cell r="E166" t="str">
            <v>Primária</v>
          </cell>
          <cell r="L166" t="str">
            <v>APOIO</v>
          </cell>
          <cell r="O166" t="str">
            <v>CAMPO</v>
          </cell>
        </row>
        <row r="167">
          <cell r="A167">
            <v>200268</v>
          </cell>
          <cell r="B167">
            <v>11110115</v>
          </cell>
          <cell r="C167" t="str">
            <v>CAMINHOES</v>
          </cell>
          <cell r="D167">
            <v>46111</v>
          </cell>
          <cell r="E167" t="str">
            <v>Primária</v>
          </cell>
          <cell r="L167" t="str">
            <v>AUTOMOTIVA</v>
          </cell>
          <cell r="O167" t="str">
            <v>INTERNA</v>
          </cell>
        </row>
        <row r="168">
          <cell r="A168">
            <v>200267</v>
          </cell>
          <cell r="B168">
            <v>11110108</v>
          </cell>
          <cell r="C168" t="str">
            <v>CAMINHOES</v>
          </cell>
          <cell r="D168">
            <v>46111</v>
          </cell>
          <cell r="E168" t="str">
            <v>Primária</v>
          </cell>
          <cell r="L168" t="str">
            <v>AUTOMOTIVA</v>
          </cell>
          <cell r="O168" t="str">
            <v>INTERNA</v>
          </cell>
        </row>
        <row r="169">
          <cell r="A169">
            <v>200266</v>
          </cell>
          <cell r="B169">
            <v>11110096</v>
          </cell>
          <cell r="C169" t="str">
            <v>CAMINHOES</v>
          </cell>
          <cell r="D169">
            <v>46111</v>
          </cell>
          <cell r="E169" t="str">
            <v>Primária</v>
          </cell>
          <cell r="L169" t="str">
            <v>AUTOMOTIVA</v>
          </cell>
          <cell r="O169" t="str">
            <v>INTERNA</v>
          </cell>
        </row>
        <row r="170">
          <cell r="A170">
            <v>200265</v>
          </cell>
          <cell r="B170">
            <v>11110009</v>
          </cell>
          <cell r="C170" t="str">
            <v>CAMINHOES</v>
          </cell>
          <cell r="D170">
            <v>46115</v>
          </cell>
          <cell r="E170" t="str">
            <v>Primária</v>
          </cell>
          <cell r="L170" t="str">
            <v>AUTOMOTIVA</v>
          </cell>
          <cell r="O170" t="str">
            <v>INTERNA</v>
          </cell>
        </row>
        <row r="171">
          <cell r="A171">
            <v>200264</v>
          </cell>
          <cell r="B171">
            <v>11110008</v>
          </cell>
          <cell r="C171" t="str">
            <v>CAMINHOES</v>
          </cell>
          <cell r="D171">
            <v>46114</v>
          </cell>
          <cell r="E171" t="str">
            <v>Primária</v>
          </cell>
          <cell r="L171" t="str">
            <v>AUTOMOTIVA</v>
          </cell>
          <cell r="O171" t="str">
            <v>INTERNA</v>
          </cell>
        </row>
        <row r="172">
          <cell r="A172">
            <v>200263</v>
          </cell>
          <cell r="B172">
            <v>11110007</v>
          </cell>
          <cell r="C172" t="str">
            <v>CAMINHOES</v>
          </cell>
          <cell r="D172">
            <v>46111</v>
          </cell>
          <cell r="E172" t="str">
            <v>Primária</v>
          </cell>
          <cell r="L172" t="str">
            <v>AUTOMOTIVA</v>
          </cell>
          <cell r="O172" t="str">
            <v>INTERNA</v>
          </cell>
        </row>
        <row r="173">
          <cell r="A173">
            <v>200262</v>
          </cell>
          <cell r="B173">
            <v>11110006</v>
          </cell>
          <cell r="C173" t="str">
            <v>CAMINHOES</v>
          </cell>
          <cell r="D173">
            <v>46116</v>
          </cell>
          <cell r="E173" t="str">
            <v>Primária</v>
          </cell>
          <cell r="L173" t="str">
            <v>AUTOMOTIVA</v>
          </cell>
          <cell r="O173" t="str">
            <v>INTERNA</v>
          </cell>
        </row>
        <row r="174">
          <cell r="A174">
            <v>200261</v>
          </cell>
          <cell r="B174">
            <v>11110005</v>
          </cell>
          <cell r="C174" t="str">
            <v>CAMINHOES</v>
          </cell>
          <cell r="D174">
            <v>46115</v>
          </cell>
          <cell r="E174" t="str">
            <v>Primária</v>
          </cell>
          <cell r="L174" t="str">
            <v>AUTOMOTIVA</v>
          </cell>
          <cell r="O174" t="str">
            <v>INTERNA</v>
          </cell>
        </row>
        <row r="175">
          <cell r="A175">
            <v>200260</v>
          </cell>
          <cell r="B175">
            <v>11110004</v>
          </cell>
          <cell r="C175" t="str">
            <v>CAMINHOES</v>
          </cell>
          <cell r="D175">
            <v>46113</v>
          </cell>
          <cell r="E175" t="str">
            <v>Primária</v>
          </cell>
          <cell r="L175" t="str">
            <v>AUTOMOTIVA</v>
          </cell>
          <cell r="O175" t="str">
            <v>INTERNA</v>
          </cell>
        </row>
        <row r="176">
          <cell r="A176">
            <v>200259</v>
          </cell>
          <cell r="B176">
            <v>11110003</v>
          </cell>
          <cell r="C176" t="str">
            <v>CAMINHOES</v>
          </cell>
          <cell r="D176">
            <v>46116</v>
          </cell>
          <cell r="E176" t="str">
            <v>Primária</v>
          </cell>
          <cell r="L176" t="str">
            <v>AUTOMOTIVA</v>
          </cell>
          <cell r="O176" t="str">
            <v>INTERNA</v>
          </cell>
        </row>
        <row r="177">
          <cell r="A177">
            <v>200258</v>
          </cell>
          <cell r="B177">
            <v>11110001</v>
          </cell>
          <cell r="C177" t="str">
            <v>CAMINHOES</v>
          </cell>
          <cell r="D177">
            <v>46111</v>
          </cell>
          <cell r="E177" t="str">
            <v>Primária</v>
          </cell>
          <cell r="L177" t="str">
            <v>AUTOMOTIVA</v>
          </cell>
          <cell r="O177" t="str">
            <v>INTERNA</v>
          </cell>
        </row>
        <row r="178">
          <cell r="A178">
            <v>200257</v>
          </cell>
          <cell r="B178">
            <v>12010218</v>
          </cell>
          <cell r="C178" t="str">
            <v>VEICULOS LEVES</v>
          </cell>
          <cell r="D178">
            <v>46111</v>
          </cell>
          <cell r="E178" t="str">
            <v>Primária</v>
          </cell>
          <cell r="L178" t="str">
            <v>ADMINISTRATIVO</v>
          </cell>
          <cell r="O178" t="str">
            <v>INTERNA</v>
          </cell>
        </row>
        <row r="179">
          <cell r="A179">
            <v>200256</v>
          </cell>
          <cell r="B179">
            <v>11160026</v>
          </cell>
          <cell r="C179" t="str">
            <v>CAMINHOES</v>
          </cell>
          <cell r="D179">
            <v>46113</v>
          </cell>
          <cell r="E179" t="str">
            <v>Primária</v>
          </cell>
          <cell r="L179" t="str">
            <v>ADMINISTRATIVO</v>
          </cell>
          <cell r="O179" t="str">
            <v>INTERNA</v>
          </cell>
        </row>
        <row r="180">
          <cell r="A180">
            <v>200255</v>
          </cell>
          <cell r="B180">
            <v>11160012</v>
          </cell>
          <cell r="C180" t="str">
            <v>CAMINHOES</v>
          </cell>
          <cell r="D180">
            <v>46116</v>
          </cell>
          <cell r="E180" t="str">
            <v>Primária</v>
          </cell>
          <cell r="L180" t="str">
            <v>ADMINISTRATIVO</v>
          </cell>
          <cell r="O180" t="str">
            <v>INTERNA</v>
          </cell>
        </row>
        <row r="181">
          <cell r="A181">
            <v>200254</v>
          </cell>
          <cell r="B181">
            <v>13120001</v>
          </cell>
          <cell r="C181" t="str">
            <v>TRATORES</v>
          </cell>
          <cell r="D181">
            <v>46113</v>
          </cell>
          <cell r="E181" t="str">
            <v>Primária</v>
          </cell>
          <cell r="L181" t="str">
            <v>ADMINISTRATIVO</v>
          </cell>
          <cell r="O181" t="str">
            <v>CAMPO</v>
          </cell>
        </row>
        <row r="182">
          <cell r="A182">
            <v>199938</v>
          </cell>
          <cell r="B182">
            <v>13020045</v>
          </cell>
          <cell r="C182" t="str">
            <v>COLHEDORAS</v>
          </cell>
          <cell r="D182">
            <v>46112</v>
          </cell>
          <cell r="E182" t="str">
            <v>Lubrificação</v>
          </cell>
          <cell r="L182" t="str">
            <v>COLHEITA</v>
          </cell>
          <cell r="O182" t="str">
            <v>CAMPO</v>
          </cell>
        </row>
        <row r="183">
          <cell r="A183">
            <v>199937</v>
          </cell>
          <cell r="B183">
            <v>13020037</v>
          </cell>
          <cell r="C183" t="str">
            <v>COLHEDORAS</v>
          </cell>
          <cell r="D183">
            <v>46111</v>
          </cell>
          <cell r="E183" t="str">
            <v>Lubrificação</v>
          </cell>
          <cell r="L183" t="str">
            <v>COLHEITA</v>
          </cell>
          <cell r="O183" t="str">
            <v>CAMPO</v>
          </cell>
        </row>
        <row r="184">
          <cell r="A184">
            <v>199937</v>
          </cell>
          <cell r="B184">
            <v>13020037</v>
          </cell>
          <cell r="C184" t="str">
            <v>COLHEDORAS</v>
          </cell>
          <cell r="D184">
            <v>46111</v>
          </cell>
          <cell r="E184" t="str">
            <v>Lubrificação</v>
          </cell>
          <cell r="L184" t="str">
            <v>COLHEITA</v>
          </cell>
          <cell r="O184" t="str">
            <v>CAMPO</v>
          </cell>
        </row>
        <row r="185">
          <cell r="A185">
            <v>199937</v>
          </cell>
          <cell r="B185">
            <v>13020037</v>
          </cell>
          <cell r="C185" t="str">
            <v>COLHEDORAS</v>
          </cell>
          <cell r="D185">
            <v>46111</v>
          </cell>
          <cell r="E185" t="str">
            <v>Lubrificação</v>
          </cell>
          <cell r="L185" t="str">
            <v>COLHEITA</v>
          </cell>
          <cell r="O185" t="str">
            <v>CAMPO</v>
          </cell>
        </row>
        <row r="186">
          <cell r="A186">
            <v>199934</v>
          </cell>
          <cell r="B186">
            <v>13020197</v>
          </cell>
          <cell r="C186" t="str">
            <v>COLHEDORAS</v>
          </cell>
          <cell r="D186">
            <v>46115</v>
          </cell>
          <cell r="E186" t="str">
            <v>Lubrificação</v>
          </cell>
          <cell r="L186" t="str">
            <v>COLHEITA</v>
          </cell>
          <cell r="O186" t="str">
            <v>CAMPO</v>
          </cell>
        </row>
        <row r="187">
          <cell r="A187">
            <v>199932</v>
          </cell>
          <cell r="B187">
            <v>11120115</v>
          </cell>
          <cell r="C187" t="str">
            <v>CAMINHOES</v>
          </cell>
          <cell r="D187">
            <v>46114</v>
          </cell>
          <cell r="E187" t="str">
            <v>Lubrificação</v>
          </cell>
          <cell r="L187" t="str">
            <v>APOIO</v>
          </cell>
          <cell r="O187" t="str">
            <v>INTERNA</v>
          </cell>
        </row>
        <row r="188">
          <cell r="A188">
            <v>199930</v>
          </cell>
          <cell r="B188">
            <v>11120126</v>
          </cell>
          <cell r="C188" t="str">
            <v>CAMINHOES</v>
          </cell>
          <cell r="D188">
            <v>46111</v>
          </cell>
          <cell r="E188" t="str">
            <v>Lubrificação</v>
          </cell>
          <cell r="L188" t="str">
            <v>APOIO</v>
          </cell>
          <cell r="O188" t="str">
            <v>INTERNA</v>
          </cell>
        </row>
        <row r="189">
          <cell r="A189">
            <v>199930</v>
          </cell>
          <cell r="B189">
            <v>11120126</v>
          </cell>
          <cell r="C189" t="str">
            <v>CAMINHOES</v>
          </cell>
          <cell r="D189">
            <v>46111</v>
          </cell>
          <cell r="E189" t="str">
            <v>Lubrificação</v>
          </cell>
          <cell r="L189" t="str">
            <v>APOIO</v>
          </cell>
          <cell r="O189" t="str">
            <v>INTERNA</v>
          </cell>
        </row>
        <row r="190">
          <cell r="A190">
            <v>199930</v>
          </cell>
          <cell r="B190">
            <v>11120126</v>
          </cell>
          <cell r="C190" t="str">
            <v>CAMINHOES</v>
          </cell>
          <cell r="D190">
            <v>46111</v>
          </cell>
          <cell r="E190" t="str">
            <v>Lubrificação</v>
          </cell>
          <cell r="L190" t="str">
            <v>APOIO</v>
          </cell>
          <cell r="O190" t="str">
            <v>INTERNA</v>
          </cell>
        </row>
        <row r="191">
          <cell r="A191">
            <v>199930</v>
          </cell>
          <cell r="B191">
            <v>11120126</v>
          </cell>
          <cell r="C191" t="str">
            <v>CAMINHOES</v>
          </cell>
          <cell r="D191">
            <v>46111</v>
          </cell>
          <cell r="E191" t="str">
            <v>Lubrificação</v>
          </cell>
          <cell r="L191" t="str">
            <v>APOIO</v>
          </cell>
          <cell r="O191" t="str">
            <v>INTERNA</v>
          </cell>
        </row>
        <row r="192">
          <cell r="A192">
            <v>199928</v>
          </cell>
          <cell r="B192">
            <v>13050008</v>
          </cell>
          <cell r="C192" t="str">
            <v>MAQUINAS PESADAS</v>
          </cell>
          <cell r="D192">
            <v>46111</v>
          </cell>
          <cell r="E192" t="str">
            <v>Lubrificação</v>
          </cell>
          <cell r="L192" t="str">
            <v>APOIO</v>
          </cell>
          <cell r="O192" t="str">
            <v>CAMPO</v>
          </cell>
        </row>
        <row r="193">
          <cell r="A193">
            <v>199480</v>
          </cell>
          <cell r="B193">
            <v>11020033</v>
          </cell>
          <cell r="C193" t="str">
            <v>CAMINHOES</v>
          </cell>
          <cell r="D193">
            <v>46116</v>
          </cell>
          <cell r="E193" t="str">
            <v>Lubrificação</v>
          </cell>
          <cell r="L193" t="str">
            <v>INDÚSTRIA</v>
          </cell>
          <cell r="O193" t="str">
            <v>INTERNA</v>
          </cell>
        </row>
        <row r="194">
          <cell r="A194">
            <v>199480</v>
          </cell>
          <cell r="B194">
            <v>11020033</v>
          </cell>
          <cell r="C194" t="str">
            <v>CAMINHOES</v>
          </cell>
          <cell r="D194">
            <v>46116</v>
          </cell>
          <cell r="E194" t="str">
            <v>Lubrificação</v>
          </cell>
          <cell r="L194" t="str">
            <v>INDÚSTRIA</v>
          </cell>
          <cell r="O194" t="str">
            <v>INTERNA</v>
          </cell>
        </row>
        <row r="195">
          <cell r="A195">
            <v>199480</v>
          </cell>
          <cell r="B195">
            <v>11020033</v>
          </cell>
          <cell r="C195" t="str">
            <v>CAMINHOES</v>
          </cell>
          <cell r="D195">
            <v>46116</v>
          </cell>
          <cell r="E195" t="str">
            <v>Lubrificação</v>
          </cell>
          <cell r="L195" t="str">
            <v>INDÚSTRIA</v>
          </cell>
          <cell r="O195" t="str">
            <v>INTERNA</v>
          </cell>
        </row>
        <row r="196">
          <cell r="A196">
            <v>199480</v>
          </cell>
          <cell r="B196">
            <v>11020033</v>
          </cell>
          <cell r="C196" t="str">
            <v>CAMINHOES</v>
          </cell>
          <cell r="D196">
            <v>46116</v>
          </cell>
          <cell r="E196" t="str">
            <v>Lubrificação</v>
          </cell>
          <cell r="L196" t="str">
            <v>INDÚSTRIA</v>
          </cell>
          <cell r="O196" t="str">
            <v>INTERNA</v>
          </cell>
        </row>
        <row r="197">
          <cell r="A197">
            <v>199479</v>
          </cell>
          <cell r="B197">
            <v>13100025</v>
          </cell>
          <cell r="C197" t="str">
            <v>TRATORES</v>
          </cell>
          <cell r="D197">
            <v>46116</v>
          </cell>
          <cell r="E197" t="str">
            <v>Lubrificação</v>
          </cell>
          <cell r="L197" t="str">
            <v>COLHEITA</v>
          </cell>
          <cell r="O197" t="str">
            <v>CAMPO</v>
          </cell>
        </row>
        <row r="198">
          <cell r="A198">
            <v>199479</v>
          </cell>
          <cell r="B198">
            <v>13100025</v>
          </cell>
          <cell r="C198" t="str">
            <v>TRATORES</v>
          </cell>
          <cell r="D198">
            <v>46116</v>
          </cell>
          <cell r="E198" t="str">
            <v>Lubrificação</v>
          </cell>
          <cell r="L198" t="str">
            <v>COLHEITA</v>
          </cell>
          <cell r="O198" t="str">
            <v>CAMPO</v>
          </cell>
        </row>
        <row r="199">
          <cell r="A199">
            <v>199479</v>
          </cell>
          <cell r="B199">
            <v>13100025</v>
          </cell>
          <cell r="C199" t="str">
            <v>TRATORES</v>
          </cell>
          <cell r="D199">
            <v>46116</v>
          </cell>
          <cell r="E199" t="str">
            <v>Lubrificação</v>
          </cell>
          <cell r="L199" t="str">
            <v>COLHEITA</v>
          </cell>
          <cell r="O199" t="str">
            <v>CAMPO</v>
          </cell>
        </row>
        <row r="200">
          <cell r="A200">
            <v>199478</v>
          </cell>
          <cell r="B200">
            <v>13100019</v>
          </cell>
          <cell r="C200" t="str">
            <v>TRATORES</v>
          </cell>
          <cell r="D200">
            <v>46116</v>
          </cell>
          <cell r="E200" t="str">
            <v>Lubrificação</v>
          </cell>
          <cell r="L200" t="str">
            <v>COLHEITA</v>
          </cell>
          <cell r="O200" t="str">
            <v>CAMPO</v>
          </cell>
        </row>
        <row r="201">
          <cell r="A201">
            <v>199477</v>
          </cell>
          <cell r="B201">
            <v>11060096</v>
          </cell>
          <cell r="C201" t="str">
            <v>CAMINHOES</v>
          </cell>
          <cell r="D201">
            <v>46116</v>
          </cell>
          <cell r="E201" t="str">
            <v>Lubrificação</v>
          </cell>
          <cell r="L201" t="str">
            <v>COLHEITA</v>
          </cell>
          <cell r="O201" t="str">
            <v>INTERNA</v>
          </cell>
        </row>
        <row r="202">
          <cell r="A202">
            <v>199477</v>
          </cell>
          <cell r="B202">
            <v>11060096</v>
          </cell>
          <cell r="C202" t="str">
            <v>CAMINHOES</v>
          </cell>
          <cell r="D202">
            <v>46116</v>
          </cell>
          <cell r="E202" t="str">
            <v>Lubrificação</v>
          </cell>
          <cell r="L202" t="str">
            <v>COLHEITA</v>
          </cell>
          <cell r="O202" t="str">
            <v>INTERNA</v>
          </cell>
        </row>
        <row r="203">
          <cell r="A203">
            <v>199476</v>
          </cell>
          <cell r="B203">
            <v>13100277</v>
          </cell>
          <cell r="C203" t="str">
            <v>TRATORES</v>
          </cell>
          <cell r="D203">
            <v>46116</v>
          </cell>
          <cell r="E203" t="str">
            <v>Lubrificação</v>
          </cell>
          <cell r="L203" t="str">
            <v>TRATOS CULTURAIS</v>
          </cell>
          <cell r="O203" t="str">
            <v>CAMPO</v>
          </cell>
        </row>
        <row r="204">
          <cell r="A204">
            <v>199475</v>
          </cell>
          <cell r="B204">
            <v>11110006</v>
          </cell>
          <cell r="C204" t="str">
            <v>CAMINHOES</v>
          </cell>
          <cell r="D204">
            <v>46116</v>
          </cell>
          <cell r="E204" t="str">
            <v>Lubrificação</v>
          </cell>
          <cell r="L204" t="str">
            <v>AUTOMOTIVA</v>
          </cell>
          <cell r="O204" t="str">
            <v>INTERNA</v>
          </cell>
        </row>
        <row r="205">
          <cell r="A205">
            <v>199475</v>
          </cell>
          <cell r="B205">
            <v>11110006</v>
          </cell>
          <cell r="C205" t="str">
            <v>CAMINHOES</v>
          </cell>
          <cell r="D205">
            <v>46116</v>
          </cell>
          <cell r="E205" t="str">
            <v>Lubrificação</v>
          </cell>
          <cell r="L205" t="str">
            <v>AUTOMOTIVA</v>
          </cell>
          <cell r="O205" t="str">
            <v>INTERNA</v>
          </cell>
        </row>
        <row r="206">
          <cell r="A206">
            <v>199475</v>
          </cell>
          <cell r="B206">
            <v>11110006</v>
          </cell>
          <cell r="C206" t="str">
            <v>CAMINHOES</v>
          </cell>
          <cell r="D206">
            <v>46116</v>
          </cell>
          <cell r="E206" t="str">
            <v>Lubrificação</v>
          </cell>
          <cell r="L206" t="str">
            <v>AUTOMOTIVA</v>
          </cell>
          <cell r="O206" t="str">
            <v>INTERNA</v>
          </cell>
        </row>
        <row r="207">
          <cell r="A207">
            <v>199474</v>
          </cell>
          <cell r="B207">
            <v>11110003</v>
          </cell>
          <cell r="C207" t="str">
            <v>CAMINHOES</v>
          </cell>
          <cell r="D207">
            <v>46116</v>
          </cell>
          <cell r="E207" t="str">
            <v>Lubrificação</v>
          </cell>
          <cell r="L207" t="str">
            <v>AUTOMOTIVA</v>
          </cell>
          <cell r="O207" t="str">
            <v>INTERNA</v>
          </cell>
        </row>
        <row r="208">
          <cell r="A208">
            <v>199474</v>
          </cell>
          <cell r="B208">
            <v>11110003</v>
          </cell>
          <cell r="C208" t="str">
            <v>CAMINHOES</v>
          </cell>
          <cell r="D208">
            <v>46116</v>
          </cell>
          <cell r="E208" t="str">
            <v>Lubrificação</v>
          </cell>
          <cell r="L208" t="str">
            <v>AUTOMOTIVA</v>
          </cell>
          <cell r="O208" t="str">
            <v>INTERNA</v>
          </cell>
        </row>
        <row r="209">
          <cell r="A209">
            <v>199474</v>
          </cell>
          <cell r="B209">
            <v>11110003</v>
          </cell>
          <cell r="C209" t="str">
            <v>CAMINHOES</v>
          </cell>
          <cell r="D209">
            <v>46116</v>
          </cell>
          <cell r="E209" t="str">
            <v>Lubrificação</v>
          </cell>
          <cell r="L209" t="str">
            <v>AUTOMOTIVA</v>
          </cell>
          <cell r="O209" t="str">
            <v>INTERNA</v>
          </cell>
        </row>
        <row r="210">
          <cell r="A210">
            <v>199472</v>
          </cell>
          <cell r="B210">
            <v>13100026</v>
          </cell>
          <cell r="C210" t="str">
            <v>TRATORES</v>
          </cell>
          <cell r="D210">
            <v>46115</v>
          </cell>
          <cell r="E210" t="str">
            <v>Lubrificação</v>
          </cell>
          <cell r="L210" t="str">
            <v>PREPARO</v>
          </cell>
          <cell r="O210" t="str">
            <v>CAMPO</v>
          </cell>
        </row>
        <row r="211">
          <cell r="A211">
            <v>199472</v>
          </cell>
          <cell r="B211">
            <v>13100026</v>
          </cell>
          <cell r="C211" t="str">
            <v>TRATORES</v>
          </cell>
          <cell r="D211">
            <v>46115</v>
          </cell>
          <cell r="E211" t="str">
            <v>Lubrificação</v>
          </cell>
          <cell r="L211" t="str">
            <v>PREPARO</v>
          </cell>
          <cell r="O211" t="str">
            <v>CAMPO</v>
          </cell>
        </row>
        <row r="212">
          <cell r="A212">
            <v>199472</v>
          </cell>
          <cell r="B212">
            <v>13100026</v>
          </cell>
          <cell r="C212" t="str">
            <v>TRATORES</v>
          </cell>
          <cell r="D212">
            <v>46115</v>
          </cell>
          <cell r="E212" t="str">
            <v>Lubrificação</v>
          </cell>
          <cell r="L212" t="str">
            <v>PREPARO</v>
          </cell>
          <cell r="O212" t="str">
            <v>CAMPO</v>
          </cell>
        </row>
        <row r="213">
          <cell r="A213">
            <v>199471</v>
          </cell>
          <cell r="B213">
            <v>11060093</v>
          </cell>
          <cell r="C213" t="str">
            <v>CAMINHOES</v>
          </cell>
          <cell r="D213">
            <v>46115</v>
          </cell>
          <cell r="E213" t="str">
            <v>Lubrificação</v>
          </cell>
          <cell r="L213" t="str">
            <v>COLHEITA</v>
          </cell>
          <cell r="O213" t="str">
            <v>INTERNA</v>
          </cell>
        </row>
        <row r="214">
          <cell r="A214">
            <v>199471</v>
          </cell>
          <cell r="B214">
            <v>11060093</v>
          </cell>
          <cell r="C214" t="str">
            <v>CAMINHOES</v>
          </cell>
          <cell r="D214">
            <v>46115</v>
          </cell>
          <cell r="E214" t="str">
            <v>Lubrificação</v>
          </cell>
          <cell r="L214" t="str">
            <v>COLHEITA</v>
          </cell>
          <cell r="O214" t="str">
            <v>INTERNA</v>
          </cell>
        </row>
        <row r="215">
          <cell r="A215">
            <v>199470</v>
          </cell>
          <cell r="B215">
            <v>11120011</v>
          </cell>
          <cell r="C215" t="str">
            <v>CAMINHOES</v>
          </cell>
          <cell r="D215">
            <v>46115</v>
          </cell>
          <cell r="E215" t="str">
            <v>Lubrificação</v>
          </cell>
          <cell r="L215" t="str">
            <v>APOIO</v>
          </cell>
          <cell r="O215" t="str">
            <v>INTERNA</v>
          </cell>
        </row>
        <row r="216">
          <cell r="A216">
            <v>199469</v>
          </cell>
          <cell r="B216">
            <v>13090324</v>
          </cell>
          <cell r="C216" t="str">
            <v>TRATORES</v>
          </cell>
          <cell r="D216">
            <v>46115</v>
          </cell>
          <cell r="E216" t="str">
            <v>Lubrificação</v>
          </cell>
          <cell r="L216" t="str">
            <v>COLHEITA</v>
          </cell>
          <cell r="O216" t="str">
            <v>CAMPO</v>
          </cell>
        </row>
        <row r="217">
          <cell r="A217">
            <v>199467</v>
          </cell>
          <cell r="B217">
            <v>11060061</v>
          </cell>
          <cell r="C217" t="str">
            <v>CAMINHOES</v>
          </cell>
          <cell r="D217">
            <v>46114</v>
          </cell>
          <cell r="E217" t="str">
            <v>Lubrificação</v>
          </cell>
          <cell r="L217" t="str">
            <v>COLHEITA</v>
          </cell>
          <cell r="O217" t="str">
            <v>INTERNA</v>
          </cell>
        </row>
        <row r="218">
          <cell r="A218">
            <v>199466</v>
          </cell>
          <cell r="B218">
            <v>13100002</v>
          </cell>
          <cell r="C218" t="str">
            <v>TRATORES</v>
          </cell>
          <cell r="D218">
            <v>46114</v>
          </cell>
          <cell r="E218" t="str">
            <v>Lubrificação</v>
          </cell>
          <cell r="L218" t="str">
            <v>TRATOS CULTURAIS</v>
          </cell>
          <cell r="O218" t="str">
            <v>CAMPO</v>
          </cell>
        </row>
        <row r="219">
          <cell r="A219">
            <v>199466</v>
          </cell>
          <cell r="B219">
            <v>13100002</v>
          </cell>
          <cell r="C219" t="str">
            <v>TRATORES</v>
          </cell>
          <cell r="D219">
            <v>46114</v>
          </cell>
          <cell r="E219" t="str">
            <v>Lubrificação</v>
          </cell>
          <cell r="L219" t="str">
            <v>TRATOS CULTURAIS</v>
          </cell>
          <cell r="O219" t="str">
            <v>CAMPO</v>
          </cell>
        </row>
        <row r="220">
          <cell r="A220">
            <v>199465</v>
          </cell>
          <cell r="B220">
            <v>11140151</v>
          </cell>
          <cell r="C220" t="str">
            <v>CAMINHOES</v>
          </cell>
          <cell r="D220">
            <v>46114</v>
          </cell>
          <cell r="E220" t="str">
            <v>Lubrificação</v>
          </cell>
          <cell r="L220" t="str">
            <v>PLANTIO</v>
          </cell>
          <cell r="O220" t="str">
            <v>INTERNA</v>
          </cell>
        </row>
        <row r="221">
          <cell r="A221">
            <v>199465</v>
          </cell>
          <cell r="B221">
            <v>11140151</v>
          </cell>
          <cell r="C221" t="str">
            <v>CAMINHOES</v>
          </cell>
          <cell r="D221">
            <v>46114</v>
          </cell>
          <cell r="E221" t="str">
            <v>Lubrificação</v>
          </cell>
          <cell r="L221" t="str">
            <v>PLANTIO</v>
          </cell>
          <cell r="O221" t="str">
            <v>INTERNA</v>
          </cell>
        </row>
        <row r="222">
          <cell r="A222">
            <v>199464</v>
          </cell>
          <cell r="B222">
            <v>13100016</v>
          </cell>
          <cell r="C222" t="str">
            <v>TRATORES</v>
          </cell>
          <cell r="D222">
            <v>46113</v>
          </cell>
          <cell r="E222" t="str">
            <v>Lubrificação</v>
          </cell>
          <cell r="L222" t="str">
            <v>COLHEITA</v>
          </cell>
          <cell r="O222" t="str">
            <v>CAMPO</v>
          </cell>
        </row>
        <row r="223">
          <cell r="A223">
            <v>199463</v>
          </cell>
          <cell r="B223">
            <v>13090322</v>
          </cell>
          <cell r="C223" t="str">
            <v>TRATORES</v>
          </cell>
          <cell r="D223">
            <v>46113</v>
          </cell>
          <cell r="E223" t="str">
            <v>Lubrificação</v>
          </cell>
          <cell r="L223" t="str">
            <v>TRATOS CULTURAIS</v>
          </cell>
          <cell r="O223" t="str">
            <v>CAMPO</v>
          </cell>
        </row>
        <row r="224">
          <cell r="A224">
            <v>199462</v>
          </cell>
          <cell r="B224">
            <v>13100017</v>
          </cell>
          <cell r="C224" t="str">
            <v>TRATORES</v>
          </cell>
          <cell r="D224">
            <v>46113</v>
          </cell>
          <cell r="E224" t="str">
            <v>Lubrificação</v>
          </cell>
          <cell r="L224" t="str">
            <v>COLHEITA</v>
          </cell>
          <cell r="O224" t="str">
            <v>CAMPO</v>
          </cell>
        </row>
        <row r="225">
          <cell r="A225">
            <v>199462</v>
          </cell>
          <cell r="B225">
            <v>13100017</v>
          </cell>
          <cell r="C225" t="str">
            <v>TRATORES</v>
          </cell>
          <cell r="D225">
            <v>46113</v>
          </cell>
          <cell r="E225" t="str">
            <v>Lubrificação</v>
          </cell>
          <cell r="L225" t="str">
            <v>COLHEITA</v>
          </cell>
          <cell r="O225" t="str">
            <v>CAMPO</v>
          </cell>
        </row>
        <row r="226">
          <cell r="A226">
            <v>199461</v>
          </cell>
          <cell r="B226">
            <v>11110004</v>
          </cell>
          <cell r="C226" t="str">
            <v>CAMINHOES</v>
          </cell>
          <cell r="D226">
            <v>46113</v>
          </cell>
          <cell r="E226" t="str">
            <v>Lubrificação</v>
          </cell>
          <cell r="L226" t="str">
            <v>AUTOMOTIVA</v>
          </cell>
          <cell r="O226" t="str">
            <v>INTERNA</v>
          </cell>
        </row>
        <row r="227">
          <cell r="A227">
            <v>199461</v>
          </cell>
          <cell r="B227">
            <v>11110004</v>
          </cell>
          <cell r="C227" t="str">
            <v>CAMINHOES</v>
          </cell>
          <cell r="D227">
            <v>46113</v>
          </cell>
          <cell r="E227" t="str">
            <v>Lubrificação</v>
          </cell>
          <cell r="L227" t="str">
            <v>AUTOMOTIVA</v>
          </cell>
          <cell r="O227" t="str">
            <v>INTERNA</v>
          </cell>
        </row>
        <row r="228">
          <cell r="A228">
            <v>199461</v>
          </cell>
          <cell r="B228">
            <v>11110004</v>
          </cell>
          <cell r="C228" t="str">
            <v>CAMINHOES</v>
          </cell>
          <cell r="D228">
            <v>46113</v>
          </cell>
          <cell r="E228" t="str">
            <v>Lubrificação</v>
          </cell>
          <cell r="L228" t="str">
            <v>AUTOMOTIVA</v>
          </cell>
          <cell r="O228" t="str">
            <v>INTERNA</v>
          </cell>
        </row>
        <row r="229">
          <cell r="A229">
            <v>199461</v>
          </cell>
          <cell r="B229">
            <v>11110004</v>
          </cell>
          <cell r="C229" t="str">
            <v>CAMINHOES</v>
          </cell>
          <cell r="D229">
            <v>46113</v>
          </cell>
          <cell r="E229" t="str">
            <v>Lubrificação</v>
          </cell>
          <cell r="L229" t="str">
            <v>AUTOMOTIVA</v>
          </cell>
          <cell r="O229" t="str">
            <v>INTERNA</v>
          </cell>
        </row>
        <row r="230">
          <cell r="A230">
            <v>199460</v>
          </cell>
          <cell r="B230">
            <v>12040007</v>
          </cell>
          <cell r="C230" t="str">
            <v>QUADRICICLOS</v>
          </cell>
          <cell r="D230">
            <v>46113</v>
          </cell>
          <cell r="E230" t="str">
            <v>Lubrificação</v>
          </cell>
          <cell r="L230" t="str">
            <v>ADMINISTRATIVO</v>
          </cell>
          <cell r="O230" t="str">
            <v>INTERNA</v>
          </cell>
        </row>
        <row r="231">
          <cell r="A231">
            <v>199458</v>
          </cell>
          <cell r="B231">
            <v>14010062</v>
          </cell>
          <cell r="C231" t="str">
            <v>MOTO BOMBA</v>
          </cell>
          <cell r="D231">
            <v>46112</v>
          </cell>
          <cell r="E231" t="str">
            <v>Lubrificação</v>
          </cell>
          <cell r="L231" t="str">
            <v>INDÚSTRIA</v>
          </cell>
          <cell r="O231" t="str">
            <v>CAMPO</v>
          </cell>
        </row>
        <row r="232">
          <cell r="A232">
            <v>199457</v>
          </cell>
          <cell r="B232">
            <v>14010061</v>
          </cell>
          <cell r="C232" t="str">
            <v>MOTO BOMBA</v>
          </cell>
          <cell r="D232">
            <v>46112</v>
          </cell>
          <cell r="E232" t="str">
            <v>Lubrificação</v>
          </cell>
          <cell r="L232" t="str">
            <v>INDÚSTRIA</v>
          </cell>
          <cell r="O232" t="str">
            <v>CAMPO</v>
          </cell>
        </row>
        <row r="233">
          <cell r="A233">
            <v>199456</v>
          </cell>
          <cell r="B233">
            <v>13100005</v>
          </cell>
          <cell r="C233" t="str">
            <v>TRATORES</v>
          </cell>
          <cell r="D233">
            <v>46112</v>
          </cell>
          <cell r="E233" t="str">
            <v>Lubrificação</v>
          </cell>
          <cell r="L233" t="str">
            <v>INDÚSTRIA</v>
          </cell>
          <cell r="O233" t="str">
            <v>CAMPO</v>
          </cell>
        </row>
        <row r="234">
          <cell r="A234">
            <v>199455</v>
          </cell>
          <cell r="B234">
            <v>13100012</v>
          </cell>
          <cell r="C234" t="str">
            <v>TRATORES</v>
          </cell>
          <cell r="D234">
            <v>46112</v>
          </cell>
          <cell r="E234" t="str">
            <v>Lubrificação</v>
          </cell>
          <cell r="L234" t="str">
            <v>PREPARO</v>
          </cell>
          <cell r="O234" t="str">
            <v>CAMPO</v>
          </cell>
        </row>
        <row r="235">
          <cell r="A235">
            <v>199455</v>
          </cell>
          <cell r="B235">
            <v>13100012</v>
          </cell>
          <cell r="C235" t="str">
            <v>TRATORES</v>
          </cell>
          <cell r="D235">
            <v>46112</v>
          </cell>
          <cell r="E235" t="str">
            <v>Lubrificação</v>
          </cell>
          <cell r="L235" t="str">
            <v>PREPARO</v>
          </cell>
          <cell r="O235" t="str">
            <v>CAMPO</v>
          </cell>
        </row>
        <row r="236">
          <cell r="A236">
            <v>199455</v>
          </cell>
          <cell r="B236">
            <v>13100012</v>
          </cell>
          <cell r="C236" t="str">
            <v>TRATORES</v>
          </cell>
          <cell r="D236">
            <v>46112</v>
          </cell>
          <cell r="E236" t="str">
            <v>Lubrificação</v>
          </cell>
          <cell r="L236" t="str">
            <v>PREPARO</v>
          </cell>
          <cell r="O236" t="str">
            <v>CAMPO</v>
          </cell>
        </row>
        <row r="237">
          <cell r="A237">
            <v>199454</v>
          </cell>
          <cell r="B237">
            <v>11060070</v>
          </cell>
          <cell r="C237" t="str">
            <v>CAMINHOES</v>
          </cell>
          <cell r="D237">
            <v>46112</v>
          </cell>
          <cell r="E237" t="str">
            <v>Lubrificação</v>
          </cell>
          <cell r="L237" t="str">
            <v>COLHEITA</v>
          </cell>
          <cell r="O237" t="str">
            <v>INTERNA</v>
          </cell>
        </row>
        <row r="238">
          <cell r="A238">
            <v>199454</v>
          </cell>
          <cell r="B238">
            <v>11060070</v>
          </cell>
          <cell r="C238" t="str">
            <v>CAMINHOES</v>
          </cell>
          <cell r="D238">
            <v>46112</v>
          </cell>
          <cell r="E238" t="str">
            <v>Lubrificação</v>
          </cell>
          <cell r="L238" t="str">
            <v>COLHEITA</v>
          </cell>
          <cell r="O238" t="str">
            <v>INTERNA</v>
          </cell>
        </row>
        <row r="239">
          <cell r="A239">
            <v>199453</v>
          </cell>
          <cell r="B239">
            <v>13100010</v>
          </cell>
          <cell r="C239" t="str">
            <v>TRATORES</v>
          </cell>
          <cell r="D239">
            <v>46111</v>
          </cell>
          <cell r="E239" t="str">
            <v>Lubrificação</v>
          </cell>
          <cell r="L239" t="str">
            <v>TRATOS CULTURAIS</v>
          </cell>
          <cell r="O239" t="str">
            <v>CAMPO</v>
          </cell>
        </row>
        <row r="240">
          <cell r="A240">
            <v>199453</v>
          </cell>
          <cell r="B240">
            <v>13100010</v>
          </cell>
          <cell r="C240" t="str">
            <v>TRATORES</v>
          </cell>
          <cell r="D240">
            <v>46111</v>
          </cell>
          <cell r="E240" t="str">
            <v>Lubrificação</v>
          </cell>
          <cell r="L240" t="str">
            <v>TRATOS CULTURAIS</v>
          </cell>
          <cell r="O240" t="str">
            <v>CAMPO</v>
          </cell>
        </row>
        <row r="241">
          <cell r="A241">
            <v>199452</v>
          </cell>
          <cell r="B241">
            <v>11120127</v>
          </cell>
          <cell r="C241" t="str">
            <v>CAMINHOES</v>
          </cell>
          <cell r="D241">
            <v>46111</v>
          </cell>
          <cell r="E241" t="str">
            <v>Lubrificação</v>
          </cell>
          <cell r="L241" t="str">
            <v>APOIO</v>
          </cell>
          <cell r="O241" t="str">
            <v>INTERNA</v>
          </cell>
        </row>
        <row r="242">
          <cell r="A242">
            <v>199452</v>
          </cell>
          <cell r="B242">
            <v>11120127</v>
          </cell>
          <cell r="C242" t="str">
            <v>CAMINHOES</v>
          </cell>
          <cell r="D242">
            <v>46111</v>
          </cell>
          <cell r="E242" t="str">
            <v>Lubrificação</v>
          </cell>
          <cell r="L242" t="str">
            <v>APOIO</v>
          </cell>
          <cell r="O242" t="str">
            <v>INTERNA</v>
          </cell>
        </row>
        <row r="243">
          <cell r="A243">
            <v>199451</v>
          </cell>
          <cell r="B243">
            <v>11020001</v>
          </cell>
          <cell r="C243" t="str">
            <v>CAMINHOES</v>
          </cell>
          <cell r="D243">
            <v>46111</v>
          </cell>
          <cell r="E243" t="str">
            <v>Lubrificação</v>
          </cell>
          <cell r="L243" t="str">
            <v>APOIO</v>
          </cell>
          <cell r="O243" t="str">
            <v>INTERNA</v>
          </cell>
        </row>
        <row r="244">
          <cell r="A244">
            <v>199451</v>
          </cell>
          <cell r="B244">
            <v>11020001</v>
          </cell>
          <cell r="C244" t="str">
            <v>CAMINHOES</v>
          </cell>
          <cell r="D244">
            <v>46111</v>
          </cell>
          <cell r="E244" t="str">
            <v>Lubrificação</v>
          </cell>
          <cell r="L244" t="str">
            <v>APOIO</v>
          </cell>
          <cell r="O244" t="str">
            <v>INTERNA</v>
          </cell>
        </row>
        <row r="245">
          <cell r="A245">
            <v>199451</v>
          </cell>
          <cell r="B245">
            <v>11020001</v>
          </cell>
          <cell r="C245" t="str">
            <v>CAMINHOES</v>
          </cell>
          <cell r="D245">
            <v>46111</v>
          </cell>
          <cell r="E245" t="str">
            <v>Lubrificação</v>
          </cell>
          <cell r="L245" t="str">
            <v>APOIO</v>
          </cell>
          <cell r="O245" t="str">
            <v>INTERNA</v>
          </cell>
        </row>
        <row r="246">
          <cell r="A246">
            <v>199450</v>
          </cell>
          <cell r="B246">
            <v>11110108</v>
          </cell>
          <cell r="C246" t="str">
            <v>CAMINHOES</v>
          </cell>
          <cell r="D246">
            <v>46111</v>
          </cell>
          <cell r="E246" t="str">
            <v>Lubrificação</v>
          </cell>
          <cell r="L246" t="str">
            <v>AUTOMOTIVA</v>
          </cell>
          <cell r="O246" t="str">
            <v>INTERNA</v>
          </cell>
        </row>
        <row r="247">
          <cell r="A247">
            <v>199449</v>
          </cell>
          <cell r="B247">
            <v>11110001</v>
          </cell>
          <cell r="C247" t="str">
            <v>CAMINHOES</v>
          </cell>
          <cell r="D247">
            <v>46111</v>
          </cell>
          <cell r="E247" t="str">
            <v>Lubrificação</v>
          </cell>
          <cell r="L247" t="str">
            <v>AUTOMOTIVA</v>
          </cell>
          <cell r="O247" t="str">
            <v>INTERNA</v>
          </cell>
        </row>
        <row r="248">
          <cell r="A248">
            <v>199449</v>
          </cell>
          <cell r="B248">
            <v>11110001</v>
          </cell>
          <cell r="C248" t="str">
            <v>CAMINHOES</v>
          </cell>
          <cell r="D248">
            <v>46111</v>
          </cell>
          <cell r="E248" t="str">
            <v>Lubrificação</v>
          </cell>
          <cell r="L248" t="str">
            <v>AUTOMOTIVA</v>
          </cell>
          <cell r="O248" t="str">
            <v>INTERNA</v>
          </cell>
        </row>
        <row r="249">
          <cell r="A249">
            <v>199412</v>
          </cell>
          <cell r="B249">
            <v>11040039</v>
          </cell>
          <cell r="C249" t="str">
            <v>CAMINHOES</v>
          </cell>
          <cell r="D249">
            <v>46111</v>
          </cell>
          <cell r="E249" t="str">
            <v>Mecânica</v>
          </cell>
          <cell r="L249" t="str">
            <v>APOIO</v>
          </cell>
          <cell r="O249" t="str">
            <v>INTERNA</v>
          </cell>
        </row>
        <row r="250">
          <cell r="A250">
            <v>199412</v>
          </cell>
          <cell r="B250">
            <v>11040039</v>
          </cell>
          <cell r="C250" t="str">
            <v>CAMINHOES</v>
          </cell>
          <cell r="D250">
            <v>46111</v>
          </cell>
          <cell r="E250" t="str">
            <v>Mecânica</v>
          </cell>
          <cell r="L250" t="str">
            <v>APOIO</v>
          </cell>
          <cell r="O250" t="str">
            <v>INTERNA</v>
          </cell>
        </row>
        <row r="251">
          <cell r="A251">
            <v>199412</v>
          </cell>
          <cell r="B251">
            <v>11040039</v>
          </cell>
          <cell r="C251" t="str">
            <v>CAMINHOES</v>
          </cell>
          <cell r="D251">
            <v>46111</v>
          </cell>
          <cell r="E251" t="str">
            <v>Mecânica</v>
          </cell>
          <cell r="L251" t="str">
            <v>APOIO</v>
          </cell>
          <cell r="O251" t="str">
            <v>INTERNA</v>
          </cell>
        </row>
        <row r="252">
          <cell r="A252">
            <v>199407</v>
          </cell>
          <cell r="B252">
            <v>13090025</v>
          </cell>
          <cell r="C252" t="str">
            <v>TRATORES</v>
          </cell>
          <cell r="D252">
            <v>46112</v>
          </cell>
          <cell r="E252" t="str">
            <v>Mecânica</v>
          </cell>
          <cell r="L252" t="str">
            <v>PLANTIO</v>
          </cell>
          <cell r="O252" t="str">
            <v>CAMPO</v>
          </cell>
        </row>
        <row r="253">
          <cell r="A253">
            <v>198702</v>
          </cell>
          <cell r="B253">
            <v>11110005</v>
          </cell>
          <cell r="C253" t="str">
            <v>CAMINHOES</v>
          </cell>
          <cell r="D253">
            <v>46115</v>
          </cell>
          <cell r="E253" t="str">
            <v>Lubrificação</v>
          </cell>
          <cell r="L253" t="str">
            <v>AUTOMOTIVA</v>
          </cell>
          <cell r="O253" t="str">
            <v>INTERNA</v>
          </cell>
        </row>
        <row r="254">
          <cell r="A254">
            <v>198049</v>
          </cell>
          <cell r="B254">
            <v>11120004</v>
          </cell>
          <cell r="C254" t="str">
            <v>CAMINHOES</v>
          </cell>
          <cell r="D254">
            <v>46116</v>
          </cell>
          <cell r="E254" t="str">
            <v>Lubrificação</v>
          </cell>
          <cell r="L254" t="str">
            <v>APOIO</v>
          </cell>
          <cell r="O254" t="str">
            <v>INTERNA</v>
          </cell>
        </row>
        <row r="255">
          <cell r="A255">
            <v>198049</v>
          </cell>
          <cell r="B255">
            <v>11120004</v>
          </cell>
          <cell r="C255" t="str">
            <v>CAMINHOES</v>
          </cell>
          <cell r="D255">
            <v>46116</v>
          </cell>
          <cell r="E255" t="str">
            <v>Lubrificação</v>
          </cell>
          <cell r="L255" t="str">
            <v>APOIO</v>
          </cell>
          <cell r="O255" t="str">
            <v>INTERNA</v>
          </cell>
        </row>
        <row r="256">
          <cell r="A256">
            <v>198049</v>
          </cell>
          <cell r="B256">
            <v>11120004</v>
          </cell>
          <cell r="C256" t="str">
            <v>CAMINHOES</v>
          </cell>
          <cell r="D256">
            <v>46116</v>
          </cell>
          <cell r="E256" t="str">
            <v>Lubrificação</v>
          </cell>
          <cell r="L256" t="str">
            <v>APOIO</v>
          </cell>
          <cell r="O256" t="str">
            <v>INTERNA</v>
          </cell>
        </row>
        <row r="257">
          <cell r="A257">
            <v>198049</v>
          </cell>
          <cell r="B257">
            <v>11120004</v>
          </cell>
          <cell r="C257" t="str">
            <v>CAMINHOES</v>
          </cell>
          <cell r="D257">
            <v>46116</v>
          </cell>
          <cell r="E257" t="str">
            <v>Lubrificação</v>
          </cell>
          <cell r="L257" t="str">
            <v>APOIO</v>
          </cell>
          <cell r="O257" t="str">
            <v>INTERNA</v>
          </cell>
        </row>
        <row r="258">
          <cell r="A258">
            <v>197197</v>
          </cell>
          <cell r="B258">
            <v>13090331</v>
          </cell>
          <cell r="C258" t="str">
            <v>TRATORES</v>
          </cell>
          <cell r="D258">
            <v>46116</v>
          </cell>
          <cell r="E258" t="str">
            <v>Lubrificação</v>
          </cell>
          <cell r="L258" t="str">
            <v>TRATOS CULTURAIS</v>
          </cell>
          <cell r="O258" t="str">
            <v>CAMPO</v>
          </cell>
        </row>
        <row r="259">
          <cell r="A259">
            <v>197197</v>
          </cell>
          <cell r="B259">
            <v>13090331</v>
          </cell>
          <cell r="C259" t="str">
            <v>TRATORES</v>
          </cell>
          <cell r="D259">
            <v>46116</v>
          </cell>
          <cell r="E259" t="str">
            <v>Lubrificação</v>
          </cell>
          <cell r="L259" t="str">
            <v>TRATOS CULTURAIS</v>
          </cell>
          <cell r="O259" t="str">
            <v>CAMPO</v>
          </cell>
        </row>
        <row r="260">
          <cell r="A260">
            <v>195265</v>
          </cell>
          <cell r="B260">
            <v>11060070</v>
          </cell>
          <cell r="C260" t="str">
            <v>CAMINHOES</v>
          </cell>
          <cell r="D260">
            <v>46112</v>
          </cell>
          <cell r="E260" t="str">
            <v>Mecânica</v>
          </cell>
          <cell r="L260" t="str">
            <v>COLHEITA</v>
          </cell>
          <cell r="O260" t="str">
            <v>INTERNA</v>
          </cell>
        </row>
      </sheetData>
      <sheetData sheetId="10"/>
      <sheetData sheetId="11">
        <row r="1">
          <cell r="A1" t="str">
            <v>COD-PLANOS</v>
          </cell>
          <cell r="B1" t="str">
            <v>PLANOS</v>
          </cell>
        </row>
        <row r="2">
          <cell r="A2">
            <v>310000014</v>
          </cell>
          <cell r="B2" t="str">
            <v>Primária</v>
          </cell>
        </row>
        <row r="3">
          <cell r="A3">
            <v>100000185</v>
          </cell>
          <cell r="B3" t="str">
            <v>Coleta</v>
          </cell>
        </row>
        <row r="4">
          <cell r="A4">
            <v>100000250</v>
          </cell>
          <cell r="B4" t="str">
            <v>Coleta</v>
          </cell>
        </row>
        <row r="5">
          <cell r="A5">
            <v>100000500</v>
          </cell>
          <cell r="B5" t="str">
            <v>Lubrificação</v>
          </cell>
        </row>
        <row r="6">
          <cell r="A6">
            <v>100010000</v>
          </cell>
          <cell r="B6" t="str">
            <v>Coleta</v>
          </cell>
        </row>
        <row r="7">
          <cell r="A7">
            <v>110000180</v>
          </cell>
          <cell r="B7" t="str">
            <v>Lubrificação</v>
          </cell>
        </row>
        <row r="8">
          <cell r="A8">
            <v>200000500</v>
          </cell>
          <cell r="B8" t="str">
            <v>Mecânica</v>
          </cell>
        </row>
        <row r="9">
          <cell r="A9">
            <v>210000015</v>
          </cell>
          <cell r="B9" t="str">
            <v>Mecânica</v>
          </cell>
        </row>
        <row r="10">
          <cell r="A10">
            <v>210000100</v>
          </cell>
          <cell r="B10" t="str">
            <v>Mecânica</v>
          </cell>
        </row>
        <row r="11">
          <cell r="A11">
            <v>210000500</v>
          </cell>
          <cell r="B11" t="str">
            <v>Mecânica</v>
          </cell>
        </row>
        <row r="12">
          <cell r="A12">
            <v>210010000</v>
          </cell>
          <cell r="B12" t="str">
            <v>Mecânica</v>
          </cell>
        </row>
        <row r="13">
          <cell r="A13">
            <v>310000015</v>
          </cell>
          <cell r="B13" t="str">
            <v>Primária</v>
          </cell>
        </row>
        <row r="14">
          <cell r="A14">
            <v>310000030</v>
          </cell>
          <cell r="B14" t="str">
            <v>Mecânica</v>
          </cell>
        </row>
        <row r="15">
          <cell r="A15" t="str">
            <v xml:space="preserve"> 110000500/100000250</v>
          </cell>
          <cell r="B15" t="str">
            <v>Lubrificação</v>
          </cell>
        </row>
        <row r="16">
          <cell r="A16" t="str">
            <v xml:space="preserve"> 110000500/100000250 Origem da O.S alterada de [ C] para [ I]. Origem da O.S alterada de [ I] para [ C].</v>
          </cell>
          <cell r="B16" t="str">
            <v>Lubrificação</v>
          </cell>
        </row>
        <row r="17">
          <cell r="A17" t="str">
            <v xml:space="preserve"> 110001000/110000500/100000250</v>
          </cell>
          <cell r="B17" t="str">
            <v>Lubrificação</v>
          </cell>
        </row>
        <row r="18">
          <cell r="A18" t="str">
            <v xml:space="preserve"> 110002000/110001000/110000500/100000250</v>
          </cell>
          <cell r="B18" t="str">
            <v>Lubrificação</v>
          </cell>
        </row>
        <row r="19">
          <cell r="A19" t="str">
            <v xml:space="preserve"> 110020000/100010000</v>
          </cell>
          <cell r="B19" t="str">
            <v>Lubrificação</v>
          </cell>
        </row>
        <row r="20">
          <cell r="A20" t="str">
            <v xml:space="preserve"> 110040000/110020000/100010000</v>
          </cell>
          <cell r="B20" t="str">
            <v>Lubrificação</v>
          </cell>
        </row>
        <row r="21">
          <cell r="A21" t="str">
            <v xml:space="preserve"> 210001000/210000500</v>
          </cell>
          <cell r="B21" t="str">
            <v>Mecânica</v>
          </cell>
        </row>
        <row r="22">
          <cell r="A22" t="str">
            <v xml:space="preserve"> 210002000/210000500</v>
          </cell>
          <cell r="B22" t="str">
            <v>MEC SRS</v>
          </cell>
        </row>
        <row r="23">
          <cell r="A23" t="str">
            <v xml:space="preserve"> 610020000/210020000/210010000</v>
          </cell>
          <cell r="B23" t="str">
            <v>Mecânica</v>
          </cell>
        </row>
        <row r="24">
          <cell r="A24" t="str">
            <v xml:space="preserve"> 310000014</v>
          </cell>
          <cell r="B24" t="str">
            <v>Primária</v>
          </cell>
        </row>
        <row r="25">
          <cell r="A25" t="str">
            <v xml:space="preserve"> 100010000</v>
          </cell>
          <cell r="B25" t="str">
            <v>Coleta</v>
          </cell>
        </row>
        <row r="26">
          <cell r="A26" t="str">
            <v xml:space="preserve"> 210010000</v>
          </cell>
          <cell r="B26" t="str">
            <v>Mecânica</v>
          </cell>
        </row>
        <row r="27">
          <cell r="A27" t="str">
            <v xml:space="preserve"> 210000100</v>
          </cell>
          <cell r="B27" t="str">
            <v>Mecânica</v>
          </cell>
        </row>
        <row r="28">
          <cell r="A28" t="str">
            <v xml:space="preserve"> 100000185</v>
          </cell>
          <cell r="B28" t="str">
            <v>Coleta</v>
          </cell>
        </row>
        <row r="29">
          <cell r="A29" t="str">
            <v xml:space="preserve"> 100000250</v>
          </cell>
          <cell r="B29" t="str">
            <v>Coleta</v>
          </cell>
        </row>
        <row r="30">
          <cell r="A30" t="str">
            <v xml:space="preserve"> 210000500</v>
          </cell>
          <cell r="B30" t="str">
            <v>Mecânica</v>
          </cell>
        </row>
        <row r="31">
          <cell r="A31" t="str">
            <v xml:space="preserve"> 200000500</v>
          </cell>
          <cell r="B31" t="str">
            <v>Mecânica</v>
          </cell>
        </row>
        <row r="32">
          <cell r="A32" t="str">
            <v xml:space="preserve"> 100000500</v>
          </cell>
          <cell r="B32" t="str">
            <v>Lubrificação</v>
          </cell>
        </row>
        <row r="33">
          <cell r="A33" t="str">
            <v xml:space="preserve"> 110000180</v>
          </cell>
          <cell r="B33" t="str">
            <v>Lubrificação</v>
          </cell>
        </row>
        <row r="34">
          <cell r="A34" t="str">
            <v xml:space="preserve"> 310000030</v>
          </cell>
          <cell r="B34" t="str">
            <v>Mecânica</v>
          </cell>
        </row>
        <row r="35">
          <cell r="A35" t="str">
            <v xml:space="preserve"> 310000015</v>
          </cell>
          <cell r="B35" t="str">
            <v>Primária</v>
          </cell>
        </row>
        <row r="36">
          <cell r="A36" t="str">
            <v xml:space="preserve"> 210000015</v>
          </cell>
          <cell r="B36" t="str">
            <v>Primária</v>
          </cell>
        </row>
        <row r="37">
          <cell r="A37" t="str">
            <v xml:space="preserve"> 210010000/200020000</v>
          </cell>
          <cell r="B37" t="str">
            <v>Mecânica</v>
          </cell>
        </row>
        <row r="38">
          <cell r="A38" t="str">
            <v xml:space="preserve"> 210040000/210020000/210010000</v>
          </cell>
          <cell r="B38" t="str">
            <v>MEC SRS</v>
          </cell>
        </row>
        <row r="39">
          <cell r="A39" t="str">
            <v xml:space="preserve"> 210020000/210010000</v>
          </cell>
          <cell r="B39" t="str">
            <v>Mecânica</v>
          </cell>
        </row>
        <row r="40">
          <cell r="A40" t="str">
            <v xml:space="preserve"> 200000750/200000375</v>
          </cell>
          <cell r="B40" t="str">
            <v>Mecânica</v>
          </cell>
        </row>
        <row r="41">
          <cell r="A41" t="str">
            <v xml:space="preserve"> 210001500/210000500</v>
          </cell>
          <cell r="B41" t="str">
            <v>MEC SRS</v>
          </cell>
        </row>
        <row r="42">
          <cell r="A42" t="str">
            <v xml:space="preserve"> 200000375</v>
          </cell>
          <cell r="B42" t="str">
            <v>Mecânica</v>
          </cell>
        </row>
        <row r="43">
          <cell r="A43" t="str">
            <v xml:space="preserve"> 210010000/200060000/200020000</v>
          </cell>
          <cell r="B43" t="str">
            <v>Mecânica</v>
          </cell>
        </row>
        <row r="44">
          <cell r="A44" t="str">
            <v xml:space="preserve"> 110001500/110000500/100000250</v>
          </cell>
          <cell r="B44" t="str">
            <v>Lubrificação</v>
          </cell>
        </row>
        <row r="45">
          <cell r="A45" t="str">
            <v xml:space="preserve"> 100060000/100020000/100010000</v>
          </cell>
          <cell r="B45" t="str">
            <v>Lubrificação</v>
          </cell>
        </row>
        <row r="46">
          <cell r="A46" t="str">
            <v xml:space="preserve"> 100000375/100000185</v>
          </cell>
          <cell r="B46" t="str">
            <v>Lubrificação</v>
          </cell>
        </row>
        <row r="47">
          <cell r="A47" t="str">
            <v xml:space="preserve"> 200000750/200000375</v>
          </cell>
          <cell r="B47" t="str">
            <v>Lubrificação</v>
          </cell>
        </row>
        <row r="48">
          <cell r="A48" t="str">
            <v xml:space="preserve"> 200000750/200000375</v>
          </cell>
          <cell r="B48" t="str">
            <v>Mecânica</v>
          </cell>
        </row>
        <row r="49">
          <cell r="A49" t="str">
            <v xml:space="preserve"> 100000750/100000375/100000185</v>
          </cell>
          <cell r="B49" t="str">
            <v>Lubrificação</v>
          </cell>
        </row>
        <row r="50">
          <cell r="A50" t="str">
            <v xml:space="preserve"> 100001500/100000750/100000375/100000185</v>
          </cell>
          <cell r="B50" t="str">
            <v>Lubrificação</v>
          </cell>
        </row>
        <row r="51">
          <cell r="A51" t="str">
            <v xml:space="preserve"> 11000200/11000100</v>
          </cell>
          <cell r="B51" t="str">
            <v>Lubrificação</v>
          </cell>
        </row>
        <row r="52">
          <cell r="A52" t="str">
            <v xml:space="preserve"> 100020000/100010000</v>
          </cell>
          <cell r="B52" t="str">
            <v>Lubrificação</v>
          </cell>
        </row>
        <row r="53">
          <cell r="A53" t="str">
            <v xml:space="preserve"> 100000375/100000185</v>
          </cell>
          <cell r="B53" t="str">
            <v>Lubrificação</v>
          </cell>
        </row>
        <row r="54">
          <cell r="A54" t="str">
            <v xml:space="preserve"> 210001500/210000500</v>
          </cell>
          <cell r="B54" t="str">
            <v>Lubrificação</v>
          </cell>
        </row>
        <row r="55">
          <cell r="A55" t="str">
            <v xml:space="preserve"> 610020000/210060000/210040000/210020000/210010000</v>
          </cell>
          <cell r="B55" t="str">
            <v>MEC SRS</v>
          </cell>
        </row>
        <row r="56">
          <cell r="A56" t="str">
            <v xml:space="preserve"> 110060000/110040000/110020000/100010000</v>
          </cell>
          <cell r="B56" t="str">
            <v>Lubrificação</v>
          </cell>
        </row>
        <row r="57">
          <cell r="A57" t="str">
            <v xml:space="preserve"> 610020000/210040000/210020000/210010000</v>
          </cell>
          <cell r="B57" t="str">
            <v>MEC SRS</v>
          </cell>
        </row>
        <row r="58">
          <cell r="A58" t="str">
            <v xml:space="preserve"> 210010000/200040000/200020000</v>
          </cell>
          <cell r="B58" t="str">
            <v>MEC SRS</v>
          </cell>
        </row>
        <row r="59">
          <cell r="A59" t="str">
            <v xml:space="preserve"> 100040000/100020000/100010000</v>
          </cell>
          <cell r="B59" t="str">
            <v>Lubrificação</v>
          </cell>
        </row>
        <row r="60">
          <cell r="A60" t="str">
            <v xml:space="preserve"> 110001500/110001000/110000500/100000250</v>
          </cell>
          <cell r="B60" t="str">
            <v>Lubrificação</v>
          </cell>
        </row>
        <row r="61">
          <cell r="A61" t="str">
            <v xml:space="preserve"> 210002000/200000500</v>
          </cell>
          <cell r="B61" t="str">
            <v>Lubrificação</v>
          </cell>
        </row>
        <row r="62">
          <cell r="A62" t="str">
            <v xml:space="preserve"> 200002000/200000500</v>
          </cell>
          <cell r="B62" t="str">
            <v>MEC SRS</v>
          </cell>
        </row>
        <row r="63">
          <cell r="A63" t="str">
            <v xml:space="preserve"> 110000365</v>
          </cell>
          <cell r="B63" t="str">
            <v>Lubrificação</v>
          </cell>
        </row>
        <row r="64">
          <cell r="A64" t="str">
            <v xml:space="preserve"> 11000100</v>
          </cell>
          <cell r="B64" t="str">
            <v>Lubrificação</v>
          </cell>
        </row>
        <row r="65">
          <cell r="A65" t="str">
            <v xml:space="preserve"> 110040000/110020000</v>
          </cell>
          <cell r="B65" t="str">
            <v>Lubrificação</v>
          </cell>
        </row>
        <row r="66">
          <cell r="A66" t="str">
            <v xml:space="preserve"> 100002000/100000500/100000250</v>
          </cell>
          <cell r="B66" t="str">
            <v>Lubrificação</v>
          </cell>
        </row>
        <row r="67">
          <cell r="A67" t="str">
            <v xml:space="preserve"> 999920000/999910000/110020000/110010000</v>
          </cell>
          <cell r="B67" t="str">
            <v>Lubrificação</v>
          </cell>
        </row>
        <row r="68">
          <cell r="A68" t="str">
            <v xml:space="preserve"> 110060000/110020000/100010000</v>
          </cell>
          <cell r="B68" t="str">
            <v>Lubrificação</v>
          </cell>
        </row>
        <row r="69">
          <cell r="A69" t="str">
            <v xml:space="preserve"> 610020000/210060000/210020000/210010000</v>
          </cell>
          <cell r="B69" t="str">
            <v>Mecânica</v>
          </cell>
        </row>
        <row r="70">
          <cell r="A70" t="str">
            <v xml:space="preserve"> 600020000/210010000/200040000/200020000</v>
          </cell>
          <cell r="B70" t="str">
            <v>MEC SRS</v>
          </cell>
        </row>
        <row r="71">
          <cell r="A71" t="str">
            <v xml:space="preserve"> 210060000/210020000/210010000</v>
          </cell>
          <cell r="B71" t="str">
            <v>Mecânica</v>
          </cell>
        </row>
        <row r="72">
          <cell r="A72" t="str">
            <v xml:space="preserve"> 210000180</v>
          </cell>
          <cell r="B72" t="str">
            <v>MEC SRS</v>
          </cell>
        </row>
        <row r="73">
          <cell r="A73" t="str">
            <v xml:space="preserve"> 220000090</v>
          </cell>
          <cell r="B73" t="str">
            <v>Mecânica</v>
          </cell>
        </row>
        <row r="74">
          <cell r="A74" t="str">
            <v xml:space="preserve"> 210060000/210040000/210020000/210010000</v>
          </cell>
          <cell r="B74" t="str">
            <v>MEC SRS</v>
          </cell>
        </row>
        <row r="75">
          <cell r="A75" t="str">
            <v xml:space="preserve"> 110001000/100000500/100000250</v>
          </cell>
          <cell r="B75" t="str">
            <v>Mecânica</v>
          </cell>
        </row>
        <row r="76">
          <cell r="A76" t="str">
            <v xml:space="preserve"> 110001000/110000500</v>
          </cell>
          <cell r="B76" t="str">
            <v>Lubrificação</v>
          </cell>
        </row>
        <row r="77">
          <cell r="A77" t="str">
            <v xml:space="preserve"> 210020000</v>
          </cell>
          <cell r="B77" t="str">
            <v>Mecânica</v>
          </cell>
        </row>
        <row r="78">
          <cell r="A78" t="str">
            <v xml:space="preserve"> 110020000</v>
          </cell>
          <cell r="B78" t="str">
            <v>Lubrificação</v>
          </cell>
        </row>
        <row r="79">
          <cell r="A79" t="str">
            <v xml:space="preserve"> 210003000/210001500/210000500</v>
          </cell>
          <cell r="B79" t="str">
            <v>MEC SRS</v>
          </cell>
        </row>
        <row r="80">
          <cell r="A80" t="str">
            <v xml:space="preserve"> 210040000/210020000/210010000 MANUTENÇÃO PROGRAMADA 52 SEMANAS 25/26</v>
          </cell>
          <cell r="B80" t="str">
            <v>MEC SRS</v>
          </cell>
        </row>
        <row r="81">
          <cell r="A81" t="str">
            <v xml:space="preserve"> 210002000/210000500 MANUTENÇÃO PROGRAMADA 52 SEMANAS 25/26</v>
          </cell>
          <cell r="B81" t="str">
            <v>MEC SRS</v>
          </cell>
        </row>
        <row r="82">
          <cell r="A82" t="str">
            <v xml:space="preserve"> 110001000/100002000/100000500/100000250</v>
          </cell>
          <cell r="B82" t="str">
            <v>Lubrificação</v>
          </cell>
        </row>
        <row r="83">
          <cell r="A83" t="str">
            <v xml:space="preserve"> 100010000 ACRESCENTADO DESMONTAR RADIADOR</v>
          </cell>
          <cell r="B83" t="str">
            <v>Lubrificação</v>
          </cell>
        </row>
        <row r="84">
          <cell r="A84" t="str">
            <v xml:space="preserve"> 210000180 MANUTENÇÃO PROGRAMADA 52 SEMANAS 25/26</v>
          </cell>
          <cell r="B84" t="str">
            <v>MEC SRS</v>
          </cell>
        </row>
        <row r="85">
          <cell r="A85" t="str">
            <v xml:space="preserve"> 600020000/210010000/200020000</v>
          </cell>
          <cell r="B85" t="str">
            <v>Mecânica</v>
          </cell>
        </row>
        <row r="86">
          <cell r="A86" t="str">
            <v xml:space="preserve"> 110000500</v>
          </cell>
          <cell r="B86" t="str">
            <v>Mecânica</v>
          </cell>
        </row>
        <row r="87">
          <cell r="A87" t="str">
            <v xml:space="preserve"> 110040000/110020000/110010000</v>
          </cell>
          <cell r="B87" t="str">
            <v>Lubrificação</v>
          </cell>
        </row>
        <row r="88">
          <cell r="A88" t="str">
            <v xml:space="preserve"> 210001500/210000500 MANUTENÇÃO PROGRAMADA 52 SEMANAS 25/26</v>
          </cell>
          <cell r="B88" t="str">
            <v>MEC SRS</v>
          </cell>
        </row>
        <row r="89">
          <cell r="A89" t="str">
            <v xml:space="preserve"> 110001000/110000500/100000250 PASTA 23 Origem da O.S alterada de [ C] para [ I].</v>
          </cell>
          <cell r="B89" t="str">
            <v>Lubrificação</v>
          </cell>
        </row>
        <row r="90">
          <cell r="A90" t="str">
            <v xml:space="preserve"> 210000500/100000250</v>
          </cell>
          <cell r="B90" t="str">
            <v>Mecânica</v>
          </cell>
        </row>
        <row r="91">
          <cell r="A91" t="str">
            <v xml:space="preserve"> 600020000/210010000/200060000/200020000</v>
          </cell>
          <cell r="B91" t="str">
            <v>Mecânica</v>
          </cell>
        </row>
        <row r="92">
          <cell r="A92" t="str">
            <v xml:space="preserve"> 999920000/999910000/110040000/110020000</v>
          </cell>
          <cell r="B92" t="str">
            <v>Lubrificação</v>
          </cell>
        </row>
        <row r="93">
          <cell r="A93" t="str">
            <v xml:space="preserve"> 100000500/100000250</v>
          </cell>
          <cell r="B93" t="str">
            <v>Lubrificação</v>
          </cell>
        </row>
        <row r="94">
          <cell r="A94" t="str">
            <v xml:space="preserve"> 999910000/110010000</v>
          </cell>
          <cell r="B94" t="str">
            <v>Lubrificação</v>
          </cell>
        </row>
        <row r="95">
          <cell r="A95" t="str">
            <v xml:space="preserve"> 110001000/110000500/100000250  </v>
          </cell>
          <cell r="B95" t="str">
            <v>Lubrificação</v>
          </cell>
        </row>
        <row r="96">
          <cell r="A96" t="str">
            <v xml:space="preserve"> 110000100</v>
          </cell>
          <cell r="B96" t="str">
            <v>Lubrificação</v>
          </cell>
        </row>
        <row r="97">
          <cell r="A97" t="str">
            <v xml:space="preserve"> 310000030/210000180</v>
          </cell>
          <cell r="B97" t="str">
            <v>Mecânica</v>
          </cell>
        </row>
        <row r="98">
          <cell r="A98" t="str">
            <v xml:space="preserve"> 310000030/210000180</v>
          </cell>
          <cell r="B98" t="str">
            <v>Mecânica</v>
          </cell>
        </row>
        <row r="99">
          <cell r="A99" t="str">
            <v xml:space="preserve"> 999920000/999910000/110040000/110020000/110010000</v>
          </cell>
          <cell r="B99" t="str">
            <v>Lubrificação</v>
          </cell>
        </row>
      </sheetData>
      <sheetData sheetId="12"/>
      <sheetData sheetId="13"/>
      <sheetData sheetId="14">
        <row r="1">
          <cell r="A1" t="str">
            <v>OS</v>
          </cell>
          <cell r="B1" t="str">
            <v>FG_STATUS</v>
          </cell>
        </row>
        <row r="2">
          <cell r="A2">
            <v>200411</v>
          </cell>
          <cell r="B2" t="str">
            <v>P</v>
          </cell>
        </row>
        <row r="3">
          <cell r="A3">
            <v>200410</v>
          </cell>
          <cell r="B3" t="str">
            <v>E</v>
          </cell>
        </row>
        <row r="4">
          <cell r="A4">
            <v>200409</v>
          </cell>
          <cell r="B4" t="str">
            <v>P</v>
          </cell>
        </row>
        <row r="5">
          <cell r="A5">
            <v>200408</v>
          </cell>
          <cell r="B5" t="str">
            <v>P</v>
          </cell>
        </row>
        <row r="6">
          <cell r="A6">
            <v>200407</v>
          </cell>
          <cell r="B6" t="str">
            <v>E</v>
          </cell>
        </row>
        <row r="7">
          <cell r="A7">
            <v>200406</v>
          </cell>
          <cell r="B7" t="str">
            <v>E</v>
          </cell>
        </row>
        <row r="8">
          <cell r="A8">
            <v>200404</v>
          </cell>
          <cell r="B8" t="str">
            <v>P</v>
          </cell>
        </row>
        <row r="9">
          <cell r="A9">
            <v>200403</v>
          </cell>
          <cell r="B9" t="str">
            <v>P</v>
          </cell>
        </row>
        <row r="10">
          <cell r="A10">
            <v>200402</v>
          </cell>
          <cell r="B10" t="str">
            <v>P</v>
          </cell>
        </row>
        <row r="11">
          <cell r="A11">
            <v>200401</v>
          </cell>
          <cell r="B11" t="str">
            <v>P</v>
          </cell>
        </row>
        <row r="12">
          <cell r="A12">
            <v>200400</v>
          </cell>
          <cell r="B12" t="str">
            <v>P</v>
          </cell>
        </row>
        <row r="13">
          <cell r="A13">
            <v>200399</v>
          </cell>
          <cell r="B13" t="str">
            <v>P</v>
          </cell>
        </row>
        <row r="14">
          <cell r="A14">
            <v>200398</v>
          </cell>
          <cell r="B14" t="str">
            <v>P</v>
          </cell>
        </row>
        <row r="15">
          <cell r="A15">
            <v>200397</v>
          </cell>
          <cell r="B15" t="str">
            <v>P</v>
          </cell>
        </row>
        <row r="16">
          <cell r="A16">
            <v>200396</v>
          </cell>
          <cell r="B16" t="str">
            <v>P</v>
          </cell>
        </row>
        <row r="17">
          <cell r="A17">
            <v>200395</v>
          </cell>
          <cell r="B17" t="str">
            <v>P</v>
          </cell>
        </row>
        <row r="18">
          <cell r="A18">
            <v>200394</v>
          </cell>
          <cell r="B18" t="str">
            <v>P</v>
          </cell>
        </row>
        <row r="19">
          <cell r="A19">
            <v>200393</v>
          </cell>
          <cell r="B19" t="str">
            <v>P</v>
          </cell>
        </row>
        <row r="20">
          <cell r="A20">
            <v>200392</v>
          </cell>
          <cell r="B20" t="str">
            <v>P</v>
          </cell>
        </row>
        <row r="21">
          <cell r="A21">
            <v>200391</v>
          </cell>
          <cell r="B21" t="str">
            <v>P</v>
          </cell>
        </row>
        <row r="22">
          <cell r="A22">
            <v>200390</v>
          </cell>
          <cell r="B22" t="str">
            <v>P</v>
          </cell>
        </row>
        <row r="23">
          <cell r="A23">
            <v>200389</v>
          </cell>
          <cell r="B23" t="str">
            <v>P</v>
          </cell>
        </row>
        <row r="24">
          <cell r="A24">
            <v>200388</v>
          </cell>
          <cell r="B24" t="str">
            <v>P</v>
          </cell>
        </row>
        <row r="25">
          <cell r="A25">
            <v>200387</v>
          </cell>
          <cell r="B25" t="str">
            <v>P</v>
          </cell>
        </row>
        <row r="26">
          <cell r="A26">
            <v>200386</v>
          </cell>
          <cell r="B26" t="str">
            <v>P</v>
          </cell>
        </row>
        <row r="27">
          <cell r="A27">
            <v>200385</v>
          </cell>
          <cell r="B27" t="str">
            <v>P</v>
          </cell>
        </row>
        <row r="28">
          <cell r="A28">
            <v>200384</v>
          </cell>
          <cell r="B28" t="str">
            <v>P</v>
          </cell>
        </row>
        <row r="29">
          <cell r="A29">
            <v>200383</v>
          </cell>
          <cell r="B29" t="str">
            <v>P</v>
          </cell>
        </row>
        <row r="30">
          <cell r="A30">
            <v>200382</v>
          </cell>
          <cell r="B30" t="str">
            <v>P</v>
          </cell>
        </row>
        <row r="31">
          <cell r="A31">
            <v>200381</v>
          </cell>
          <cell r="B31" t="str">
            <v>P</v>
          </cell>
        </row>
        <row r="32">
          <cell r="A32">
            <v>200380</v>
          </cell>
          <cell r="B32" t="str">
            <v>P</v>
          </cell>
        </row>
        <row r="33">
          <cell r="A33">
            <v>200379</v>
          </cell>
          <cell r="B33" t="str">
            <v>P</v>
          </cell>
        </row>
        <row r="34">
          <cell r="A34">
            <v>200378</v>
          </cell>
          <cell r="B34" t="str">
            <v>P</v>
          </cell>
        </row>
        <row r="35">
          <cell r="A35">
            <v>200377</v>
          </cell>
          <cell r="B35" t="str">
            <v>P</v>
          </cell>
        </row>
        <row r="36">
          <cell r="A36">
            <v>200376</v>
          </cell>
          <cell r="B36" t="str">
            <v>P</v>
          </cell>
        </row>
        <row r="37">
          <cell r="A37">
            <v>200375</v>
          </cell>
          <cell r="B37" t="str">
            <v>P</v>
          </cell>
        </row>
        <row r="38">
          <cell r="A38">
            <v>200374</v>
          </cell>
          <cell r="B38" t="str">
            <v>P</v>
          </cell>
        </row>
        <row r="39">
          <cell r="A39">
            <v>200373</v>
          </cell>
          <cell r="B39" t="str">
            <v>P</v>
          </cell>
        </row>
        <row r="40">
          <cell r="A40">
            <v>200372</v>
          </cell>
          <cell r="B40" t="str">
            <v>P</v>
          </cell>
        </row>
        <row r="41">
          <cell r="A41">
            <v>200371</v>
          </cell>
          <cell r="B41" t="str">
            <v>P</v>
          </cell>
        </row>
        <row r="42">
          <cell r="A42">
            <v>200370</v>
          </cell>
          <cell r="B42" t="str">
            <v>P</v>
          </cell>
        </row>
        <row r="43">
          <cell r="A43">
            <v>200369</v>
          </cell>
          <cell r="B43" t="str">
            <v>P</v>
          </cell>
        </row>
        <row r="44">
          <cell r="A44">
            <v>200368</v>
          </cell>
          <cell r="B44" t="str">
            <v>P</v>
          </cell>
        </row>
        <row r="45">
          <cell r="A45">
            <v>200367</v>
          </cell>
          <cell r="B45" t="str">
            <v>P</v>
          </cell>
        </row>
        <row r="46">
          <cell r="A46">
            <v>200366</v>
          </cell>
          <cell r="B46" t="str">
            <v>P</v>
          </cell>
        </row>
        <row r="47">
          <cell r="A47">
            <v>200365</v>
          </cell>
          <cell r="B47" t="str">
            <v>P</v>
          </cell>
        </row>
        <row r="48">
          <cell r="A48">
            <v>200364</v>
          </cell>
          <cell r="B48" t="str">
            <v>P</v>
          </cell>
        </row>
        <row r="49">
          <cell r="A49">
            <v>200363</v>
          </cell>
          <cell r="B49" t="str">
            <v>P</v>
          </cell>
        </row>
        <row r="50">
          <cell r="A50">
            <v>200362</v>
          </cell>
          <cell r="B50" t="str">
            <v>P</v>
          </cell>
        </row>
        <row r="51">
          <cell r="A51">
            <v>200361</v>
          </cell>
          <cell r="B51" t="str">
            <v>P</v>
          </cell>
        </row>
        <row r="52">
          <cell r="A52">
            <v>200360</v>
          </cell>
          <cell r="B52" t="str">
            <v>P</v>
          </cell>
        </row>
        <row r="53">
          <cell r="A53">
            <v>200359</v>
          </cell>
          <cell r="B53" t="str">
            <v>P</v>
          </cell>
        </row>
        <row r="54">
          <cell r="A54">
            <v>200358</v>
          </cell>
          <cell r="B54" t="str">
            <v>P</v>
          </cell>
        </row>
        <row r="55">
          <cell r="A55">
            <v>200357</v>
          </cell>
          <cell r="B55" t="str">
            <v>P</v>
          </cell>
        </row>
        <row r="56">
          <cell r="A56">
            <v>200356</v>
          </cell>
          <cell r="B56" t="str">
            <v>P</v>
          </cell>
        </row>
        <row r="57">
          <cell r="A57">
            <v>200354</v>
          </cell>
          <cell r="B57" t="str">
            <v>P</v>
          </cell>
        </row>
        <row r="58">
          <cell r="A58">
            <v>200353</v>
          </cell>
          <cell r="B58" t="str">
            <v>P</v>
          </cell>
        </row>
        <row r="59">
          <cell r="A59">
            <v>200352</v>
          </cell>
          <cell r="B59" t="str">
            <v>P</v>
          </cell>
        </row>
        <row r="60">
          <cell r="A60">
            <v>200351</v>
          </cell>
          <cell r="B60" t="str">
            <v>P</v>
          </cell>
        </row>
        <row r="61">
          <cell r="A61">
            <v>200350</v>
          </cell>
          <cell r="B61" t="str">
            <v>P</v>
          </cell>
        </row>
        <row r="62">
          <cell r="A62">
            <v>200349</v>
          </cell>
          <cell r="B62" t="str">
            <v>P</v>
          </cell>
        </row>
        <row r="63">
          <cell r="A63">
            <v>200348</v>
          </cell>
          <cell r="B63" t="str">
            <v>P</v>
          </cell>
        </row>
        <row r="64">
          <cell r="A64">
            <v>200347</v>
          </cell>
          <cell r="B64" t="str">
            <v>P</v>
          </cell>
        </row>
        <row r="65">
          <cell r="A65">
            <v>200345</v>
          </cell>
          <cell r="B65" t="str">
            <v>P</v>
          </cell>
        </row>
        <row r="66">
          <cell r="A66">
            <v>200344</v>
          </cell>
          <cell r="B66" t="str">
            <v>P</v>
          </cell>
        </row>
        <row r="67">
          <cell r="A67">
            <v>200343</v>
          </cell>
          <cell r="B67" t="str">
            <v>P</v>
          </cell>
        </row>
        <row r="68">
          <cell r="A68">
            <v>200342</v>
          </cell>
          <cell r="B68" t="str">
            <v>P</v>
          </cell>
        </row>
        <row r="69">
          <cell r="A69">
            <v>200341</v>
          </cell>
          <cell r="B69" t="str">
            <v>P</v>
          </cell>
        </row>
        <row r="70">
          <cell r="A70">
            <v>200340</v>
          </cell>
          <cell r="B70" t="str">
            <v>P</v>
          </cell>
        </row>
        <row r="71">
          <cell r="A71">
            <v>200339</v>
          </cell>
          <cell r="B71" t="str">
            <v>P</v>
          </cell>
        </row>
        <row r="72">
          <cell r="A72">
            <v>200338</v>
          </cell>
          <cell r="B72" t="str">
            <v>P</v>
          </cell>
        </row>
        <row r="73">
          <cell r="A73">
            <v>200337</v>
          </cell>
          <cell r="B73" t="str">
            <v>P</v>
          </cell>
        </row>
        <row r="74">
          <cell r="A74">
            <v>200336</v>
          </cell>
          <cell r="B74" t="str">
            <v>P</v>
          </cell>
        </row>
        <row r="75">
          <cell r="A75">
            <v>200335</v>
          </cell>
          <cell r="B75" t="str">
            <v>P</v>
          </cell>
        </row>
        <row r="76">
          <cell r="A76">
            <v>200334</v>
          </cell>
          <cell r="B76" t="str">
            <v>P</v>
          </cell>
        </row>
        <row r="77">
          <cell r="A77">
            <v>200333</v>
          </cell>
          <cell r="B77" t="str">
            <v>P</v>
          </cell>
        </row>
        <row r="78">
          <cell r="A78">
            <v>200332</v>
          </cell>
          <cell r="B78" t="str">
            <v>P</v>
          </cell>
        </row>
        <row r="79">
          <cell r="A79">
            <v>200331</v>
          </cell>
          <cell r="B79" t="str">
            <v>P</v>
          </cell>
        </row>
        <row r="80">
          <cell r="A80">
            <v>200330</v>
          </cell>
          <cell r="B80" t="str">
            <v>P</v>
          </cell>
        </row>
        <row r="81">
          <cell r="A81">
            <v>200329</v>
          </cell>
          <cell r="B81" t="str">
            <v>P</v>
          </cell>
        </row>
        <row r="82">
          <cell r="A82">
            <v>200328</v>
          </cell>
          <cell r="B82" t="str">
            <v>P</v>
          </cell>
        </row>
        <row r="83">
          <cell r="A83">
            <v>200327</v>
          </cell>
          <cell r="B83" t="str">
            <v>P</v>
          </cell>
        </row>
        <row r="84">
          <cell r="A84">
            <v>200326</v>
          </cell>
          <cell r="B84" t="str">
            <v>P</v>
          </cell>
        </row>
        <row r="85">
          <cell r="A85">
            <v>200325</v>
          </cell>
          <cell r="B85" t="str">
            <v>P</v>
          </cell>
        </row>
        <row r="86">
          <cell r="A86">
            <v>200324</v>
          </cell>
          <cell r="B86" t="str">
            <v>P</v>
          </cell>
        </row>
        <row r="87">
          <cell r="A87">
            <v>200323</v>
          </cell>
          <cell r="B87" t="str">
            <v>P</v>
          </cell>
        </row>
        <row r="88">
          <cell r="A88">
            <v>200322</v>
          </cell>
          <cell r="B88" t="str">
            <v>P</v>
          </cell>
        </row>
        <row r="89">
          <cell r="A89">
            <v>200321</v>
          </cell>
          <cell r="B89" t="str">
            <v>P</v>
          </cell>
        </row>
        <row r="90">
          <cell r="A90">
            <v>200320</v>
          </cell>
          <cell r="B90" t="str">
            <v>P</v>
          </cell>
        </row>
        <row r="91">
          <cell r="A91">
            <v>200319</v>
          </cell>
          <cell r="B91" t="str">
            <v>P</v>
          </cell>
        </row>
        <row r="92">
          <cell r="A92">
            <v>200318</v>
          </cell>
          <cell r="B92" t="str">
            <v>P</v>
          </cell>
        </row>
        <row r="93">
          <cell r="A93">
            <v>200317</v>
          </cell>
          <cell r="B93" t="str">
            <v>P</v>
          </cell>
        </row>
        <row r="94">
          <cell r="A94">
            <v>200316</v>
          </cell>
          <cell r="B94" t="str">
            <v>P</v>
          </cell>
        </row>
        <row r="95">
          <cell r="A95">
            <v>200315</v>
          </cell>
          <cell r="B95" t="str">
            <v>P</v>
          </cell>
        </row>
        <row r="96">
          <cell r="A96">
            <v>200314</v>
          </cell>
          <cell r="B96" t="str">
            <v>P</v>
          </cell>
        </row>
        <row r="97">
          <cell r="A97">
            <v>200313</v>
          </cell>
          <cell r="B97" t="str">
            <v>P</v>
          </cell>
        </row>
        <row r="98">
          <cell r="A98">
            <v>200312</v>
          </cell>
          <cell r="B98" t="str">
            <v>P</v>
          </cell>
        </row>
        <row r="99">
          <cell r="A99">
            <v>200311</v>
          </cell>
          <cell r="B99" t="str">
            <v>P</v>
          </cell>
        </row>
        <row r="100">
          <cell r="A100">
            <v>200310</v>
          </cell>
          <cell r="B100" t="str">
            <v>P</v>
          </cell>
        </row>
        <row r="101">
          <cell r="A101">
            <v>200309</v>
          </cell>
          <cell r="B101" t="str">
            <v>P</v>
          </cell>
        </row>
        <row r="102">
          <cell r="A102">
            <v>200308</v>
          </cell>
          <cell r="B102" t="str">
            <v>P</v>
          </cell>
        </row>
        <row r="103">
          <cell r="A103">
            <v>200307</v>
          </cell>
          <cell r="B103" t="str">
            <v>P</v>
          </cell>
        </row>
        <row r="104">
          <cell r="A104">
            <v>200306</v>
          </cell>
          <cell r="B104" t="str">
            <v>P</v>
          </cell>
        </row>
        <row r="105">
          <cell r="A105">
            <v>200305</v>
          </cell>
          <cell r="B105" t="str">
            <v>P</v>
          </cell>
        </row>
        <row r="106">
          <cell r="A106">
            <v>200304</v>
          </cell>
          <cell r="B106" t="str">
            <v>P</v>
          </cell>
        </row>
        <row r="107">
          <cell r="A107">
            <v>200303</v>
          </cell>
          <cell r="B107" t="str">
            <v>P</v>
          </cell>
        </row>
        <row r="108">
          <cell r="A108">
            <v>200302</v>
          </cell>
          <cell r="B108" t="str">
            <v>P</v>
          </cell>
        </row>
        <row r="109">
          <cell r="A109">
            <v>200301</v>
          </cell>
          <cell r="B109" t="str">
            <v>P</v>
          </cell>
        </row>
        <row r="110">
          <cell r="A110">
            <v>200300</v>
          </cell>
          <cell r="B110" t="str">
            <v>P</v>
          </cell>
        </row>
        <row r="111">
          <cell r="A111">
            <v>200299</v>
          </cell>
          <cell r="B111" t="str">
            <v>P</v>
          </cell>
        </row>
        <row r="112">
          <cell r="A112">
            <v>200298</v>
          </cell>
          <cell r="B112" t="str">
            <v>P</v>
          </cell>
        </row>
        <row r="113">
          <cell r="A113">
            <v>200297</v>
          </cell>
          <cell r="B113" t="str">
            <v>P</v>
          </cell>
        </row>
        <row r="114">
          <cell r="A114">
            <v>200296</v>
          </cell>
          <cell r="B114" t="str">
            <v>P</v>
          </cell>
        </row>
        <row r="115">
          <cell r="A115">
            <v>200295</v>
          </cell>
          <cell r="B115" t="str">
            <v>P</v>
          </cell>
        </row>
        <row r="116">
          <cell r="A116">
            <v>200294</v>
          </cell>
          <cell r="B116" t="str">
            <v>P</v>
          </cell>
        </row>
        <row r="117">
          <cell r="A117">
            <v>200293</v>
          </cell>
          <cell r="B117" t="str">
            <v>P</v>
          </cell>
        </row>
        <row r="118">
          <cell r="A118">
            <v>200292</v>
          </cell>
          <cell r="B118" t="str">
            <v>P</v>
          </cell>
        </row>
        <row r="119">
          <cell r="A119">
            <v>200291</v>
          </cell>
          <cell r="B119" t="str">
            <v>P</v>
          </cell>
        </row>
        <row r="120">
          <cell r="A120">
            <v>200290</v>
          </cell>
          <cell r="B120" t="str">
            <v>P</v>
          </cell>
        </row>
        <row r="121">
          <cell r="A121">
            <v>200289</v>
          </cell>
          <cell r="B121" t="str">
            <v>P</v>
          </cell>
        </row>
        <row r="122">
          <cell r="A122">
            <v>200288</v>
          </cell>
          <cell r="B122" t="str">
            <v>P</v>
          </cell>
        </row>
        <row r="123">
          <cell r="A123">
            <v>200287</v>
          </cell>
          <cell r="B123" t="str">
            <v>P</v>
          </cell>
        </row>
        <row r="124">
          <cell r="A124">
            <v>200286</v>
          </cell>
          <cell r="B124" t="str">
            <v>P</v>
          </cell>
        </row>
        <row r="125">
          <cell r="A125">
            <v>200285</v>
          </cell>
          <cell r="B125" t="str">
            <v>P</v>
          </cell>
        </row>
        <row r="126">
          <cell r="A126">
            <v>200284</v>
          </cell>
          <cell r="B126" t="str">
            <v>P</v>
          </cell>
        </row>
        <row r="127">
          <cell r="A127">
            <v>200283</v>
          </cell>
          <cell r="B127" t="str">
            <v>P</v>
          </cell>
        </row>
        <row r="128">
          <cell r="A128">
            <v>200281</v>
          </cell>
          <cell r="B128" t="str">
            <v>P</v>
          </cell>
        </row>
        <row r="129">
          <cell r="A129">
            <v>200280</v>
          </cell>
          <cell r="B129" t="str">
            <v>P</v>
          </cell>
        </row>
        <row r="130">
          <cell r="A130">
            <v>200279</v>
          </cell>
          <cell r="B130" t="str">
            <v>P</v>
          </cell>
        </row>
        <row r="131">
          <cell r="A131">
            <v>200278</v>
          </cell>
          <cell r="B131" t="str">
            <v>E</v>
          </cell>
        </row>
        <row r="132">
          <cell r="A132">
            <v>200277</v>
          </cell>
          <cell r="B132" t="str">
            <v>P</v>
          </cell>
        </row>
        <row r="133">
          <cell r="A133">
            <v>200276</v>
          </cell>
          <cell r="B133" t="str">
            <v>P</v>
          </cell>
        </row>
        <row r="134">
          <cell r="A134">
            <v>200275</v>
          </cell>
          <cell r="B134" t="str">
            <v>P</v>
          </cell>
        </row>
        <row r="135">
          <cell r="A135">
            <v>200274</v>
          </cell>
          <cell r="B135" t="str">
            <v>P</v>
          </cell>
        </row>
        <row r="136">
          <cell r="A136">
            <v>200273</v>
          </cell>
          <cell r="B136" t="str">
            <v>P</v>
          </cell>
        </row>
        <row r="137">
          <cell r="A137">
            <v>200272</v>
          </cell>
          <cell r="B137" t="str">
            <v>P</v>
          </cell>
        </row>
        <row r="138">
          <cell r="A138">
            <v>200271</v>
          </cell>
          <cell r="B138" t="str">
            <v>P</v>
          </cell>
        </row>
        <row r="139">
          <cell r="A139">
            <v>200270</v>
          </cell>
          <cell r="B139" t="str">
            <v>P</v>
          </cell>
        </row>
        <row r="140">
          <cell r="A140">
            <v>200269</v>
          </cell>
          <cell r="B140" t="str">
            <v>P</v>
          </cell>
        </row>
        <row r="141">
          <cell r="A141">
            <v>200268</v>
          </cell>
          <cell r="B141" t="str">
            <v>P</v>
          </cell>
        </row>
        <row r="142">
          <cell r="A142">
            <v>200267</v>
          </cell>
          <cell r="B142" t="str">
            <v>P</v>
          </cell>
        </row>
        <row r="143">
          <cell r="A143">
            <v>200266</v>
          </cell>
          <cell r="B143" t="str">
            <v>P</v>
          </cell>
        </row>
        <row r="144">
          <cell r="A144">
            <v>200265</v>
          </cell>
          <cell r="B144" t="str">
            <v>P</v>
          </cell>
        </row>
        <row r="145">
          <cell r="A145">
            <v>200264</v>
          </cell>
          <cell r="B145" t="str">
            <v>P</v>
          </cell>
        </row>
        <row r="146">
          <cell r="A146">
            <v>200263</v>
          </cell>
          <cell r="B146" t="str">
            <v>P</v>
          </cell>
        </row>
        <row r="147">
          <cell r="A147">
            <v>200262</v>
          </cell>
          <cell r="B147" t="str">
            <v>P</v>
          </cell>
        </row>
        <row r="148">
          <cell r="A148">
            <v>200261</v>
          </cell>
          <cell r="B148" t="str">
            <v>P</v>
          </cell>
        </row>
        <row r="149">
          <cell r="A149">
            <v>200260</v>
          </cell>
          <cell r="B149" t="str">
            <v>P</v>
          </cell>
        </row>
        <row r="150">
          <cell r="A150">
            <v>200259</v>
          </cell>
          <cell r="B150" t="str">
            <v>P</v>
          </cell>
        </row>
        <row r="151">
          <cell r="A151">
            <v>200258</v>
          </cell>
          <cell r="B151" t="str">
            <v>P</v>
          </cell>
        </row>
        <row r="152">
          <cell r="A152">
            <v>200257</v>
          </cell>
          <cell r="B152" t="str">
            <v>P</v>
          </cell>
        </row>
        <row r="153">
          <cell r="A153">
            <v>200256</v>
          </cell>
          <cell r="B153" t="str">
            <v>P</v>
          </cell>
        </row>
        <row r="154">
          <cell r="A154">
            <v>200255</v>
          </cell>
          <cell r="B154" t="str">
            <v>P</v>
          </cell>
        </row>
        <row r="155">
          <cell r="A155">
            <v>200254</v>
          </cell>
          <cell r="B155" t="str">
            <v>P</v>
          </cell>
        </row>
        <row r="156">
          <cell r="A156">
            <v>199938</v>
          </cell>
          <cell r="B156" t="str">
            <v>P</v>
          </cell>
        </row>
        <row r="157">
          <cell r="A157">
            <v>199937</v>
          </cell>
          <cell r="B157" t="str">
            <v>P</v>
          </cell>
        </row>
        <row r="158">
          <cell r="A158">
            <v>199934</v>
          </cell>
          <cell r="B158" t="str">
            <v>P</v>
          </cell>
        </row>
        <row r="159">
          <cell r="A159">
            <v>199932</v>
          </cell>
          <cell r="B159" t="str">
            <v>P</v>
          </cell>
        </row>
        <row r="160">
          <cell r="A160">
            <v>199930</v>
          </cell>
          <cell r="B160" t="str">
            <v>P</v>
          </cell>
        </row>
        <row r="161">
          <cell r="A161">
            <v>199928</v>
          </cell>
          <cell r="B161" t="str">
            <v>P</v>
          </cell>
        </row>
        <row r="162">
          <cell r="A162">
            <v>199480</v>
          </cell>
          <cell r="B162" t="str">
            <v>P</v>
          </cell>
        </row>
        <row r="163">
          <cell r="A163">
            <v>199479</v>
          </cell>
          <cell r="B163" t="str">
            <v>P</v>
          </cell>
        </row>
        <row r="164">
          <cell r="A164">
            <v>199478</v>
          </cell>
          <cell r="B164" t="str">
            <v>P</v>
          </cell>
        </row>
        <row r="165">
          <cell r="A165">
            <v>199477</v>
          </cell>
          <cell r="B165" t="str">
            <v>P</v>
          </cell>
        </row>
        <row r="166">
          <cell r="A166">
            <v>199476</v>
          </cell>
          <cell r="B166" t="str">
            <v>P</v>
          </cell>
        </row>
        <row r="167">
          <cell r="A167">
            <v>199475</v>
          </cell>
          <cell r="B167" t="str">
            <v>P</v>
          </cell>
        </row>
        <row r="168">
          <cell r="A168">
            <v>199474</v>
          </cell>
          <cell r="B168" t="str">
            <v>P</v>
          </cell>
        </row>
        <row r="169">
          <cell r="A169">
            <v>199472</v>
          </cell>
          <cell r="B169" t="str">
            <v>P</v>
          </cell>
        </row>
        <row r="170">
          <cell r="A170">
            <v>199471</v>
          </cell>
          <cell r="B170" t="str">
            <v>P</v>
          </cell>
        </row>
        <row r="171">
          <cell r="A171">
            <v>199470</v>
          </cell>
          <cell r="B171" t="str">
            <v>P</v>
          </cell>
        </row>
        <row r="172">
          <cell r="A172">
            <v>199469</v>
          </cell>
          <cell r="B172" t="str">
            <v>P</v>
          </cell>
        </row>
        <row r="173">
          <cell r="A173">
            <v>199467</v>
          </cell>
          <cell r="B173" t="str">
            <v>P</v>
          </cell>
        </row>
        <row r="174">
          <cell r="A174">
            <v>199466</v>
          </cell>
          <cell r="B174" t="str">
            <v>P</v>
          </cell>
        </row>
        <row r="175">
          <cell r="A175">
            <v>199465</v>
          </cell>
          <cell r="B175" t="str">
            <v>P</v>
          </cell>
        </row>
        <row r="176">
          <cell r="A176">
            <v>199464</v>
          </cell>
          <cell r="B176" t="str">
            <v>P</v>
          </cell>
        </row>
        <row r="177">
          <cell r="A177">
            <v>199463</v>
          </cell>
          <cell r="B177" t="str">
            <v>P</v>
          </cell>
        </row>
        <row r="178">
          <cell r="A178">
            <v>199462</v>
          </cell>
          <cell r="B178" t="str">
            <v>P</v>
          </cell>
        </row>
        <row r="179">
          <cell r="A179">
            <v>199461</v>
          </cell>
          <cell r="B179" t="str">
            <v>P</v>
          </cell>
        </row>
        <row r="180">
          <cell r="A180">
            <v>199460</v>
          </cell>
          <cell r="B180" t="str">
            <v>P</v>
          </cell>
        </row>
        <row r="181">
          <cell r="A181">
            <v>199458</v>
          </cell>
          <cell r="B181" t="str">
            <v>P</v>
          </cell>
        </row>
        <row r="182">
          <cell r="A182">
            <v>199457</v>
          </cell>
          <cell r="B182" t="str">
            <v>P</v>
          </cell>
        </row>
        <row r="183">
          <cell r="A183">
            <v>199456</v>
          </cell>
          <cell r="B183" t="str">
            <v>P</v>
          </cell>
        </row>
        <row r="184">
          <cell r="A184">
            <v>199455</v>
          </cell>
          <cell r="B184" t="str">
            <v>P</v>
          </cell>
        </row>
        <row r="185">
          <cell r="A185">
            <v>199454</v>
          </cell>
          <cell r="B185" t="str">
            <v>P</v>
          </cell>
        </row>
        <row r="186">
          <cell r="A186">
            <v>199453</v>
          </cell>
          <cell r="B186" t="str">
            <v>P</v>
          </cell>
        </row>
        <row r="187">
          <cell r="A187">
            <v>199452</v>
          </cell>
          <cell r="B187" t="str">
            <v>P</v>
          </cell>
        </row>
        <row r="188">
          <cell r="A188">
            <v>199451</v>
          </cell>
          <cell r="B188" t="str">
            <v>P</v>
          </cell>
        </row>
        <row r="189">
          <cell r="A189">
            <v>199450</v>
          </cell>
          <cell r="B189" t="str">
            <v>P</v>
          </cell>
        </row>
        <row r="190">
          <cell r="A190">
            <v>199449</v>
          </cell>
          <cell r="B190" t="str">
            <v>P</v>
          </cell>
        </row>
        <row r="191">
          <cell r="A191">
            <v>199412</v>
          </cell>
          <cell r="B191" t="str">
            <v>P</v>
          </cell>
        </row>
        <row r="192">
          <cell r="A192">
            <v>199407</v>
          </cell>
          <cell r="B192" t="str">
            <v>P</v>
          </cell>
        </row>
        <row r="193">
          <cell r="A193">
            <v>198702</v>
          </cell>
          <cell r="B193" t="str">
            <v>P</v>
          </cell>
        </row>
        <row r="194">
          <cell r="A194">
            <v>198049</v>
          </cell>
          <cell r="B194" t="str">
            <v>P</v>
          </cell>
        </row>
        <row r="195">
          <cell r="A195">
            <v>197197</v>
          </cell>
          <cell r="B195" t="str">
            <v>P</v>
          </cell>
        </row>
        <row r="196">
          <cell r="A196">
            <v>200627</v>
          </cell>
          <cell r="B196" t="str">
            <v>P</v>
          </cell>
        </row>
        <row r="197">
          <cell r="A197">
            <v>200626</v>
          </cell>
          <cell r="B197" t="str">
            <v>P</v>
          </cell>
        </row>
        <row r="198">
          <cell r="A198">
            <v>200625</v>
          </cell>
          <cell r="B198" t="str">
            <v>P</v>
          </cell>
        </row>
        <row r="199">
          <cell r="A199">
            <v>200624</v>
          </cell>
          <cell r="B199" t="str">
            <v>P</v>
          </cell>
        </row>
        <row r="200">
          <cell r="A200">
            <v>200623</v>
          </cell>
          <cell r="B200" t="str">
            <v>P</v>
          </cell>
        </row>
        <row r="201">
          <cell r="A201">
            <v>200621</v>
          </cell>
          <cell r="B201" t="str">
            <v>P</v>
          </cell>
        </row>
        <row r="202">
          <cell r="A202">
            <v>200620</v>
          </cell>
          <cell r="B202" t="str">
            <v>P</v>
          </cell>
        </row>
        <row r="203">
          <cell r="A203">
            <v>200619</v>
          </cell>
          <cell r="B203" t="str">
            <v>P</v>
          </cell>
        </row>
        <row r="204">
          <cell r="A204">
            <v>200618</v>
          </cell>
          <cell r="B204" t="str">
            <v>P</v>
          </cell>
        </row>
        <row r="205">
          <cell r="A205">
            <v>200617</v>
          </cell>
          <cell r="B205" t="str">
            <v>P</v>
          </cell>
        </row>
        <row r="206">
          <cell r="A206">
            <v>200616</v>
          </cell>
          <cell r="B206" t="str">
            <v>P</v>
          </cell>
        </row>
        <row r="207">
          <cell r="A207">
            <v>200608</v>
          </cell>
          <cell r="B207" t="str">
            <v>P</v>
          </cell>
        </row>
        <row r="208">
          <cell r="A208">
            <v>200607</v>
          </cell>
          <cell r="B208" t="str">
            <v>P</v>
          </cell>
        </row>
        <row r="209">
          <cell r="A209">
            <v>200606</v>
          </cell>
          <cell r="B209" t="str">
            <v>P</v>
          </cell>
        </row>
        <row r="210">
          <cell r="A210">
            <v>200605</v>
          </cell>
          <cell r="B210" t="str">
            <v>P</v>
          </cell>
        </row>
        <row r="211">
          <cell r="A211">
            <v>200604</v>
          </cell>
          <cell r="B211" t="str">
            <v>P</v>
          </cell>
        </row>
        <row r="212">
          <cell r="A212">
            <v>200603</v>
          </cell>
          <cell r="B212" t="str">
            <v>P</v>
          </cell>
        </row>
        <row r="213">
          <cell r="A213">
            <v>195265</v>
          </cell>
          <cell r="B213" t="str">
            <v>P</v>
          </cell>
        </row>
      </sheetData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LAT. ENVIO POR RESPONSÁVEL"/>
      <sheetName val="RELAT. ENVIO POR DATA"/>
      <sheetName val="S_POST"/>
      <sheetName val="BD PROG SAFRA"/>
      <sheetName val="CONFERENCIA"/>
      <sheetName val="BD MANUAL"/>
      <sheetName val="CARRETA_PITsTOP"/>
      <sheetName val="MEC"/>
      <sheetName val="BASE-SRS"/>
    </sheetNames>
    <sheetDataSet>
      <sheetData sheetId="0"/>
      <sheetData sheetId="1"/>
      <sheetData sheetId="2">
        <row r="1">
          <cell r="C1" t="str">
            <v>OS</v>
          </cell>
        </row>
        <row r="2">
          <cell r="C2" t="str">
            <v xml:space="preserve">
Boletim</v>
          </cell>
          <cell r="AG2" t="str">
            <v>PLANO</v>
          </cell>
        </row>
        <row r="3">
          <cell r="C3">
            <v>195265</v>
          </cell>
          <cell r="AG3" t="str">
            <v xml:space="preserve"> 210010000</v>
          </cell>
        </row>
        <row r="4">
          <cell r="C4">
            <v>197197</v>
          </cell>
          <cell r="AG4" t="str">
            <v xml:space="preserve"> 110000500/100000250</v>
          </cell>
        </row>
        <row r="5">
          <cell r="C5">
            <v>198049</v>
          </cell>
          <cell r="AG5" t="str">
            <v xml:space="preserve"> 100060000/100040000/100020000/100010000</v>
          </cell>
        </row>
        <row r="6">
          <cell r="C6">
            <v>198702</v>
          </cell>
          <cell r="AG6" t="str">
            <v xml:space="preserve"> 100010000</v>
          </cell>
        </row>
        <row r="7">
          <cell r="C7">
            <v>199407</v>
          </cell>
          <cell r="AG7" t="str">
            <v xml:space="preserve"> 210000500</v>
          </cell>
        </row>
        <row r="8">
          <cell r="C8">
            <v>199412</v>
          </cell>
          <cell r="AG8" t="str">
            <v xml:space="preserve"> 210060000/210020000/210010000</v>
          </cell>
        </row>
        <row r="9">
          <cell r="C9">
            <v>199449</v>
          </cell>
          <cell r="AG9" t="str">
            <v xml:space="preserve"> 110020000/100010000</v>
          </cell>
        </row>
        <row r="10">
          <cell r="C10">
            <v>199450</v>
          </cell>
          <cell r="AG10" t="str">
            <v xml:space="preserve"> 100010000</v>
          </cell>
        </row>
        <row r="11">
          <cell r="C11">
            <v>199451</v>
          </cell>
          <cell r="AG11" t="str">
            <v xml:space="preserve"> 110060000/110020000/100010000</v>
          </cell>
        </row>
        <row r="12">
          <cell r="C12">
            <v>199452</v>
          </cell>
          <cell r="AG12" t="str">
            <v xml:space="preserve"> 100020000/100010000</v>
          </cell>
        </row>
        <row r="13">
          <cell r="C13">
            <v>199453</v>
          </cell>
          <cell r="AG13" t="str">
            <v xml:space="preserve"> 110000500/100000250</v>
          </cell>
        </row>
        <row r="14">
          <cell r="C14">
            <v>199454</v>
          </cell>
          <cell r="AG14" t="str">
            <v xml:space="preserve"> 110020000/100010000</v>
          </cell>
        </row>
        <row r="15">
          <cell r="C15">
            <v>199455</v>
          </cell>
          <cell r="AG15" t="str">
            <v xml:space="preserve"> 110001500/110000500/100000250</v>
          </cell>
        </row>
        <row r="16">
          <cell r="C16">
            <v>199456</v>
          </cell>
          <cell r="AG16" t="str">
            <v xml:space="preserve"> 100000250</v>
          </cell>
        </row>
        <row r="17">
          <cell r="C17">
            <v>199457</v>
          </cell>
          <cell r="AG17" t="str">
            <v xml:space="preserve"> 100000500</v>
          </cell>
        </row>
        <row r="18">
          <cell r="C18">
            <v>199458</v>
          </cell>
          <cell r="AG18" t="str">
            <v xml:space="preserve"> 100000500</v>
          </cell>
        </row>
        <row r="19">
          <cell r="C19">
            <v>199460</v>
          </cell>
          <cell r="AG19" t="str">
            <v xml:space="preserve"> 110000100</v>
          </cell>
        </row>
        <row r="20">
          <cell r="C20">
            <v>199461</v>
          </cell>
          <cell r="AG20" t="str">
            <v xml:space="preserve"> 110060000/110040000/110020000/100010000</v>
          </cell>
        </row>
        <row r="21">
          <cell r="C21">
            <v>199462</v>
          </cell>
          <cell r="AG21" t="str">
            <v xml:space="preserve"> 110000500/100000250</v>
          </cell>
        </row>
        <row r="22">
          <cell r="C22">
            <v>199463</v>
          </cell>
          <cell r="AG22" t="str">
            <v xml:space="preserve"> 100000250</v>
          </cell>
        </row>
        <row r="23">
          <cell r="C23">
            <v>199464</v>
          </cell>
          <cell r="AG23" t="str">
            <v xml:space="preserve"> 100000250</v>
          </cell>
        </row>
        <row r="24">
          <cell r="C24">
            <v>199465</v>
          </cell>
          <cell r="AG24" t="str">
            <v xml:space="preserve"> 110020000/100010000</v>
          </cell>
        </row>
        <row r="25">
          <cell r="C25">
            <v>199466</v>
          </cell>
          <cell r="AG25" t="str">
            <v xml:space="preserve"> 110000500/100000250</v>
          </cell>
        </row>
        <row r="26">
          <cell r="C26">
            <v>199467</v>
          </cell>
          <cell r="AG26" t="str">
            <v xml:space="preserve"> 100010000</v>
          </cell>
        </row>
        <row r="27">
          <cell r="C27">
            <v>199469</v>
          </cell>
          <cell r="AG27" t="str">
            <v xml:space="preserve"> 100000250</v>
          </cell>
        </row>
        <row r="28">
          <cell r="C28">
            <v>199470</v>
          </cell>
          <cell r="AG28" t="str">
            <v xml:space="preserve"> 100010000</v>
          </cell>
        </row>
        <row r="29">
          <cell r="C29">
            <v>199471</v>
          </cell>
          <cell r="AG29" t="str">
            <v xml:space="preserve"> 110020000/100010000</v>
          </cell>
        </row>
        <row r="30">
          <cell r="C30">
            <v>199472</v>
          </cell>
          <cell r="AG30" t="str">
            <v xml:space="preserve"> 110001500/110000500/100000250</v>
          </cell>
        </row>
        <row r="31">
          <cell r="C31">
            <v>199474</v>
          </cell>
          <cell r="AG31" t="str">
            <v xml:space="preserve"> 110040000/110020000/100010000</v>
          </cell>
        </row>
        <row r="32">
          <cell r="C32">
            <v>199475</v>
          </cell>
          <cell r="AG32" t="str">
            <v xml:space="preserve"> 110040000/110020000/100010000</v>
          </cell>
        </row>
        <row r="33">
          <cell r="C33">
            <v>199476</v>
          </cell>
          <cell r="AG33" t="str">
            <v xml:space="preserve"> 100000250</v>
          </cell>
        </row>
        <row r="34">
          <cell r="C34">
            <v>199477</v>
          </cell>
          <cell r="AG34" t="str">
            <v xml:space="preserve"> 110020000/100010000</v>
          </cell>
        </row>
        <row r="35">
          <cell r="C35">
            <v>199478</v>
          </cell>
          <cell r="AG35" t="str">
            <v xml:space="preserve"> 100000250</v>
          </cell>
        </row>
        <row r="36">
          <cell r="C36">
            <v>199479</v>
          </cell>
          <cell r="AG36" t="str">
            <v xml:space="preserve"> 110001000/110000500/100000250</v>
          </cell>
        </row>
        <row r="37">
          <cell r="C37">
            <v>199480</v>
          </cell>
          <cell r="AG37" t="str">
            <v xml:space="preserve"> 110060000/110040000/110020000/100010000</v>
          </cell>
        </row>
        <row r="38">
          <cell r="C38">
            <v>199928</v>
          </cell>
          <cell r="AG38" t="str">
            <v xml:space="preserve"> 100000250</v>
          </cell>
        </row>
        <row r="39">
          <cell r="C39">
            <v>199930</v>
          </cell>
          <cell r="AG39" t="str">
            <v xml:space="preserve"> 100060000/100040000/100020000/100010000</v>
          </cell>
        </row>
        <row r="40">
          <cell r="C40">
            <v>199932</v>
          </cell>
          <cell r="AG40" t="str">
            <v xml:space="preserve"> 100010000</v>
          </cell>
        </row>
        <row r="41">
          <cell r="C41">
            <v>199934</v>
          </cell>
          <cell r="AG41" t="str">
            <v xml:space="preserve"> 100000185</v>
          </cell>
        </row>
        <row r="42">
          <cell r="C42">
            <v>199937</v>
          </cell>
          <cell r="AG42" t="str">
            <v xml:space="preserve"> 100000750/100000375/100000185</v>
          </cell>
        </row>
        <row r="43">
          <cell r="C43">
            <v>199938</v>
          </cell>
          <cell r="AG43" t="str">
            <v xml:space="preserve"> 100000185</v>
          </cell>
        </row>
        <row r="44">
          <cell r="C44">
            <v>200254</v>
          </cell>
          <cell r="AG44" t="str">
            <v xml:space="preserve"> 310000014</v>
          </cell>
        </row>
        <row r="45">
          <cell r="C45">
            <v>200255</v>
          </cell>
          <cell r="AG45" t="str">
            <v xml:space="preserve"> 310000014</v>
          </cell>
        </row>
        <row r="46">
          <cell r="C46">
            <v>200256</v>
          </cell>
          <cell r="AG46" t="str">
            <v xml:space="preserve"> 310000014</v>
          </cell>
        </row>
        <row r="47">
          <cell r="C47">
            <v>200257</v>
          </cell>
          <cell r="AG47" t="str">
            <v xml:space="preserve"> 310000014</v>
          </cell>
        </row>
        <row r="48">
          <cell r="C48">
            <v>200258</v>
          </cell>
          <cell r="AG48" t="str">
            <v xml:space="preserve"> 310000014</v>
          </cell>
        </row>
        <row r="49">
          <cell r="C49">
            <v>200259</v>
          </cell>
          <cell r="AG49" t="str">
            <v xml:space="preserve"> 310000014</v>
          </cell>
        </row>
        <row r="50">
          <cell r="C50">
            <v>200260</v>
          </cell>
          <cell r="AG50" t="str">
            <v xml:space="preserve"> 310000014</v>
          </cell>
        </row>
        <row r="51">
          <cell r="C51">
            <v>200261</v>
          </cell>
          <cell r="AG51" t="str">
            <v xml:space="preserve"> 310000014</v>
          </cell>
        </row>
        <row r="52">
          <cell r="C52">
            <v>200262</v>
          </cell>
          <cell r="AG52" t="str">
            <v xml:space="preserve"> 310000014</v>
          </cell>
        </row>
        <row r="53">
          <cell r="C53">
            <v>200263</v>
          </cell>
          <cell r="AG53" t="str">
            <v xml:space="preserve"> 310000014</v>
          </cell>
        </row>
        <row r="54">
          <cell r="C54">
            <v>200264</v>
          </cell>
          <cell r="AG54" t="str">
            <v xml:space="preserve"> 310000014</v>
          </cell>
        </row>
        <row r="55">
          <cell r="C55">
            <v>200265</v>
          </cell>
          <cell r="AG55" t="str">
            <v xml:space="preserve"> 310000014</v>
          </cell>
        </row>
        <row r="56">
          <cell r="C56">
            <v>200266</v>
          </cell>
          <cell r="AG56" t="str">
            <v xml:space="preserve"> 310000014</v>
          </cell>
        </row>
        <row r="57">
          <cell r="C57">
            <v>200267</v>
          </cell>
          <cell r="AG57" t="str">
            <v xml:space="preserve"> 310000014</v>
          </cell>
        </row>
        <row r="58">
          <cell r="C58">
            <v>200268</v>
          </cell>
          <cell r="AG58" t="str">
            <v xml:space="preserve"> 310000014</v>
          </cell>
        </row>
        <row r="59">
          <cell r="C59">
            <v>200269</v>
          </cell>
          <cell r="AG59" t="str">
            <v xml:space="preserve"> 310000014</v>
          </cell>
        </row>
        <row r="60">
          <cell r="C60">
            <v>200270</v>
          </cell>
          <cell r="AG60" t="str">
            <v xml:space="preserve"> 310000014</v>
          </cell>
        </row>
        <row r="61">
          <cell r="C61">
            <v>200271</v>
          </cell>
          <cell r="AG61" t="str">
            <v xml:space="preserve"> 310000014</v>
          </cell>
        </row>
        <row r="62">
          <cell r="C62">
            <v>200272</v>
          </cell>
          <cell r="AG62" t="str">
            <v xml:space="preserve"> 310000014</v>
          </cell>
        </row>
        <row r="63">
          <cell r="C63">
            <v>200273</v>
          </cell>
          <cell r="AG63" t="str">
            <v xml:space="preserve"> 310000014</v>
          </cell>
        </row>
        <row r="64">
          <cell r="C64">
            <v>200274</v>
          </cell>
          <cell r="AG64" t="str">
            <v xml:space="preserve"> 310000014</v>
          </cell>
        </row>
        <row r="65">
          <cell r="C65">
            <v>200275</v>
          </cell>
          <cell r="AG65" t="str">
            <v xml:space="preserve"> 310000014</v>
          </cell>
        </row>
        <row r="66">
          <cell r="C66">
            <v>200276</v>
          </cell>
          <cell r="AG66" t="str">
            <v xml:space="preserve"> 310000014</v>
          </cell>
        </row>
        <row r="67">
          <cell r="C67">
            <v>200277</v>
          </cell>
          <cell r="AG67" t="str">
            <v xml:space="preserve"> 310000014</v>
          </cell>
        </row>
        <row r="68">
          <cell r="C68">
            <v>200278</v>
          </cell>
          <cell r="AG68" t="str">
            <v xml:space="preserve"> 310000014</v>
          </cell>
        </row>
        <row r="69">
          <cell r="C69">
            <v>200279</v>
          </cell>
          <cell r="AG69" t="str">
            <v xml:space="preserve"> 310000014</v>
          </cell>
        </row>
        <row r="70">
          <cell r="C70">
            <v>200280</v>
          </cell>
          <cell r="AG70" t="str">
            <v xml:space="preserve"> 310000014</v>
          </cell>
        </row>
        <row r="71">
          <cell r="C71">
            <v>200281</v>
          </cell>
          <cell r="AG71" t="str">
            <v xml:space="preserve"> 310000014</v>
          </cell>
        </row>
        <row r="72">
          <cell r="C72">
            <v>200283</v>
          </cell>
          <cell r="AG72" t="str">
            <v xml:space="preserve"> 310000014</v>
          </cell>
        </row>
        <row r="73">
          <cell r="C73">
            <v>200284</v>
          </cell>
          <cell r="AG73" t="str">
            <v xml:space="preserve"> 310000014</v>
          </cell>
        </row>
        <row r="74">
          <cell r="C74">
            <v>200285</v>
          </cell>
          <cell r="AG74" t="str">
            <v xml:space="preserve"> 310000014</v>
          </cell>
        </row>
        <row r="75">
          <cell r="C75">
            <v>200286</v>
          </cell>
          <cell r="AG75" t="str">
            <v xml:space="preserve"> 310000014</v>
          </cell>
        </row>
        <row r="76">
          <cell r="C76">
            <v>200287</v>
          </cell>
          <cell r="AG76" t="str">
            <v xml:space="preserve"> 310000014</v>
          </cell>
        </row>
        <row r="77">
          <cell r="C77">
            <v>200288</v>
          </cell>
          <cell r="AG77" t="str">
            <v xml:space="preserve"> 310000014</v>
          </cell>
        </row>
        <row r="78">
          <cell r="C78">
            <v>200289</v>
          </cell>
          <cell r="AG78" t="str">
            <v xml:space="preserve"> 310000014</v>
          </cell>
        </row>
        <row r="79">
          <cell r="C79">
            <v>200290</v>
          </cell>
          <cell r="AG79" t="str">
            <v xml:space="preserve"> 310000014</v>
          </cell>
        </row>
        <row r="80">
          <cell r="C80">
            <v>200291</v>
          </cell>
          <cell r="AG80" t="str">
            <v xml:space="preserve"> 310000014</v>
          </cell>
        </row>
        <row r="81">
          <cell r="C81">
            <v>200292</v>
          </cell>
          <cell r="AG81" t="str">
            <v xml:space="preserve"> 310000014</v>
          </cell>
        </row>
        <row r="82">
          <cell r="C82">
            <v>200293</v>
          </cell>
          <cell r="AG82" t="str">
            <v xml:space="preserve"> 310000014</v>
          </cell>
        </row>
        <row r="83">
          <cell r="C83">
            <v>200294</v>
          </cell>
          <cell r="AG83" t="str">
            <v xml:space="preserve"> 310000014</v>
          </cell>
        </row>
        <row r="84">
          <cell r="C84">
            <v>200295</v>
          </cell>
          <cell r="AG84" t="str">
            <v xml:space="preserve"> 310000014</v>
          </cell>
        </row>
        <row r="85">
          <cell r="C85">
            <v>200296</v>
          </cell>
          <cell r="AG85" t="str">
            <v xml:space="preserve"> 310000014</v>
          </cell>
        </row>
        <row r="86">
          <cell r="C86">
            <v>200297</v>
          </cell>
          <cell r="AG86" t="str">
            <v xml:space="preserve"> 310000014</v>
          </cell>
        </row>
        <row r="87">
          <cell r="C87">
            <v>200298</v>
          </cell>
          <cell r="AG87" t="str">
            <v xml:space="preserve"> 310000014</v>
          </cell>
        </row>
        <row r="88">
          <cell r="C88">
            <v>200299</v>
          </cell>
          <cell r="AG88" t="str">
            <v xml:space="preserve"> 310000014</v>
          </cell>
        </row>
        <row r="89">
          <cell r="C89">
            <v>200300</v>
          </cell>
          <cell r="AG89" t="str">
            <v xml:space="preserve"> 310000014</v>
          </cell>
        </row>
        <row r="90">
          <cell r="C90">
            <v>200301</v>
          </cell>
          <cell r="AG90" t="str">
            <v xml:space="preserve"> 310000014</v>
          </cell>
        </row>
        <row r="91">
          <cell r="C91">
            <v>200302</v>
          </cell>
          <cell r="AG91" t="str">
            <v xml:space="preserve"> 310000014</v>
          </cell>
        </row>
        <row r="92">
          <cell r="C92">
            <v>200303</v>
          </cell>
          <cell r="AG92" t="str">
            <v xml:space="preserve"> 310000014</v>
          </cell>
        </row>
        <row r="93">
          <cell r="C93">
            <v>200304</v>
          </cell>
          <cell r="AG93" t="str">
            <v xml:space="preserve"> 310000014</v>
          </cell>
        </row>
        <row r="94">
          <cell r="C94">
            <v>200305</v>
          </cell>
          <cell r="AG94" t="str">
            <v xml:space="preserve"> 310000014</v>
          </cell>
        </row>
        <row r="95">
          <cell r="C95">
            <v>200306</v>
          </cell>
          <cell r="AG95" t="str">
            <v xml:space="preserve"> 310000014</v>
          </cell>
        </row>
        <row r="96">
          <cell r="C96">
            <v>200307</v>
          </cell>
          <cell r="AG96" t="str">
            <v xml:space="preserve"> 310000014</v>
          </cell>
        </row>
        <row r="97">
          <cell r="C97">
            <v>200308</v>
          </cell>
          <cell r="AG97" t="str">
            <v xml:space="preserve"> 310000014</v>
          </cell>
        </row>
        <row r="98">
          <cell r="C98">
            <v>200309</v>
          </cell>
          <cell r="AG98" t="str">
            <v xml:space="preserve"> 310000014</v>
          </cell>
        </row>
        <row r="99">
          <cell r="C99">
            <v>200310</v>
          </cell>
          <cell r="AG99" t="str">
            <v xml:space="preserve"> 310000014</v>
          </cell>
        </row>
        <row r="100">
          <cell r="C100">
            <v>200311</v>
          </cell>
          <cell r="AG100" t="str">
            <v xml:space="preserve"> 310000014</v>
          </cell>
        </row>
        <row r="101">
          <cell r="C101">
            <v>200312</v>
          </cell>
          <cell r="AG101" t="str">
            <v xml:space="preserve"> 310000015</v>
          </cell>
        </row>
        <row r="102">
          <cell r="C102">
            <v>200313</v>
          </cell>
          <cell r="AG102" t="str">
            <v xml:space="preserve"> 310000015</v>
          </cell>
        </row>
        <row r="103">
          <cell r="C103">
            <v>200314</v>
          </cell>
          <cell r="AG103" t="str">
            <v xml:space="preserve"> 310000015</v>
          </cell>
        </row>
        <row r="104">
          <cell r="C104">
            <v>200315</v>
          </cell>
          <cell r="AG104" t="str">
            <v xml:space="preserve"> 210000015</v>
          </cell>
        </row>
        <row r="105">
          <cell r="C105">
            <v>200316</v>
          </cell>
          <cell r="AG105" t="str">
            <v xml:space="preserve"> 210000015</v>
          </cell>
        </row>
        <row r="106">
          <cell r="C106">
            <v>200317</v>
          </cell>
          <cell r="AG106" t="str">
            <v xml:space="preserve"> 210000015</v>
          </cell>
        </row>
        <row r="107">
          <cell r="C107">
            <v>200318</v>
          </cell>
          <cell r="AG107" t="str">
            <v xml:space="preserve"> 210000015</v>
          </cell>
        </row>
        <row r="108">
          <cell r="C108">
            <v>200319</v>
          </cell>
          <cell r="AG108" t="str">
            <v xml:space="preserve"> 210000015</v>
          </cell>
        </row>
        <row r="109">
          <cell r="C109">
            <v>200320</v>
          </cell>
          <cell r="AG109" t="str">
            <v xml:space="preserve"> 210000015</v>
          </cell>
        </row>
        <row r="110">
          <cell r="C110">
            <v>200321</v>
          </cell>
          <cell r="AG110" t="str">
            <v xml:space="preserve"> 210000015</v>
          </cell>
        </row>
        <row r="111">
          <cell r="C111">
            <v>200322</v>
          </cell>
          <cell r="AG111" t="str">
            <v xml:space="preserve"> 210000015</v>
          </cell>
        </row>
        <row r="112">
          <cell r="C112">
            <v>200323</v>
          </cell>
          <cell r="AG112" t="str">
            <v xml:space="preserve"> 210000015</v>
          </cell>
        </row>
        <row r="113">
          <cell r="C113">
            <v>200324</v>
          </cell>
          <cell r="AG113" t="str">
            <v xml:space="preserve"> 210000015</v>
          </cell>
        </row>
        <row r="114">
          <cell r="C114">
            <v>200325</v>
          </cell>
          <cell r="AG114" t="str">
            <v xml:space="preserve"> 210000015</v>
          </cell>
        </row>
        <row r="115">
          <cell r="C115">
            <v>200326</v>
          </cell>
          <cell r="AG115" t="str">
            <v xml:space="preserve"> 210000015</v>
          </cell>
        </row>
        <row r="116">
          <cell r="C116">
            <v>200327</v>
          </cell>
          <cell r="AG116" t="str">
            <v xml:space="preserve"> 210000015</v>
          </cell>
        </row>
        <row r="117">
          <cell r="C117">
            <v>200328</v>
          </cell>
          <cell r="AG117" t="str">
            <v xml:space="preserve"> 210000015</v>
          </cell>
        </row>
        <row r="118">
          <cell r="C118">
            <v>200329</v>
          </cell>
          <cell r="AG118" t="str">
            <v xml:space="preserve"> 210000015</v>
          </cell>
        </row>
        <row r="119">
          <cell r="C119">
            <v>200330</v>
          </cell>
          <cell r="AG119" t="str">
            <v xml:space="preserve"> 210000015</v>
          </cell>
        </row>
        <row r="120">
          <cell r="C120">
            <v>200331</v>
          </cell>
          <cell r="AG120" t="str">
            <v xml:space="preserve"> 210000015</v>
          </cell>
        </row>
        <row r="121">
          <cell r="C121">
            <v>200332</v>
          </cell>
          <cell r="AG121" t="str">
            <v xml:space="preserve"> 210000015</v>
          </cell>
        </row>
        <row r="122">
          <cell r="C122">
            <v>200333</v>
          </cell>
          <cell r="AG122" t="str">
            <v xml:space="preserve"> 210000015</v>
          </cell>
        </row>
        <row r="123">
          <cell r="C123">
            <v>200334</v>
          </cell>
          <cell r="AG123" t="str">
            <v xml:space="preserve"> 210000015</v>
          </cell>
        </row>
        <row r="124">
          <cell r="C124">
            <v>200335</v>
          </cell>
          <cell r="AG124" t="str">
            <v xml:space="preserve"> 210000015</v>
          </cell>
        </row>
        <row r="125">
          <cell r="C125">
            <v>200336</v>
          </cell>
          <cell r="AG125" t="str">
            <v xml:space="preserve"> 210000015</v>
          </cell>
        </row>
        <row r="126">
          <cell r="C126">
            <v>200337</v>
          </cell>
          <cell r="AG126" t="str">
            <v xml:space="preserve"> 210000015</v>
          </cell>
        </row>
        <row r="127">
          <cell r="C127">
            <v>200338</v>
          </cell>
          <cell r="AG127" t="str">
            <v xml:space="preserve"> 210000015</v>
          </cell>
        </row>
        <row r="128">
          <cell r="C128">
            <v>200339</v>
          </cell>
          <cell r="AG128" t="str">
            <v xml:space="preserve"> 210000015</v>
          </cell>
        </row>
        <row r="129">
          <cell r="C129">
            <v>200340</v>
          </cell>
          <cell r="AG129" t="str">
            <v xml:space="preserve"> 210000015</v>
          </cell>
        </row>
        <row r="130">
          <cell r="C130">
            <v>200341</v>
          </cell>
          <cell r="AG130" t="str">
            <v xml:space="preserve"> 310000014</v>
          </cell>
        </row>
        <row r="131">
          <cell r="C131">
            <v>200342</v>
          </cell>
          <cell r="AG131" t="str">
            <v xml:space="preserve"> 310000014</v>
          </cell>
        </row>
        <row r="132">
          <cell r="C132">
            <v>200343</v>
          </cell>
          <cell r="AG132" t="str">
            <v xml:space="preserve"> 310000014</v>
          </cell>
        </row>
        <row r="133">
          <cell r="C133">
            <v>200344</v>
          </cell>
          <cell r="AG133" t="str">
            <v xml:space="preserve"> 310000014</v>
          </cell>
        </row>
        <row r="134">
          <cell r="C134">
            <v>200345</v>
          </cell>
          <cell r="AG134" t="str">
            <v xml:space="preserve"> 310000014</v>
          </cell>
        </row>
        <row r="135">
          <cell r="C135">
            <v>200347</v>
          </cell>
          <cell r="AG135" t="str">
            <v xml:space="preserve"> 310000014</v>
          </cell>
        </row>
        <row r="136">
          <cell r="C136">
            <v>200348</v>
          </cell>
          <cell r="AG136" t="str">
            <v xml:space="preserve"> 310000014</v>
          </cell>
        </row>
        <row r="137">
          <cell r="C137">
            <v>200349</v>
          </cell>
          <cell r="AG137" t="str">
            <v xml:space="preserve"> 310000014</v>
          </cell>
        </row>
        <row r="138">
          <cell r="C138">
            <v>200350</v>
          </cell>
          <cell r="AG138" t="str">
            <v xml:space="preserve"> 310000014</v>
          </cell>
        </row>
        <row r="139">
          <cell r="C139">
            <v>200351</v>
          </cell>
          <cell r="AG139" t="str">
            <v xml:space="preserve"> 310000014</v>
          </cell>
        </row>
        <row r="140">
          <cell r="C140">
            <v>200352</v>
          </cell>
          <cell r="AG140" t="str">
            <v xml:space="preserve"> 310000014</v>
          </cell>
        </row>
        <row r="141">
          <cell r="C141">
            <v>200353</v>
          </cell>
          <cell r="AG141" t="str">
            <v xml:space="preserve"> 310000014</v>
          </cell>
        </row>
        <row r="142">
          <cell r="C142">
            <v>200354</v>
          </cell>
          <cell r="AG142" t="str">
            <v xml:space="preserve"> 310000014</v>
          </cell>
        </row>
        <row r="143">
          <cell r="C143">
            <v>200356</v>
          </cell>
          <cell r="AG143" t="str">
            <v xml:space="preserve"> 310000014</v>
          </cell>
        </row>
        <row r="144">
          <cell r="C144">
            <v>200357</v>
          </cell>
          <cell r="AG144" t="str">
            <v xml:space="preserve"> 310000014</v>
          </cell>
        </row>
        <row r="145">
          <cell r="C145">
            <v>200358</v>
          </cell>
          <cell r="AG145" t="str">
            <v xml:space="preserve"> 310000014</v>
          </cell>
        </row>
        <row r="146">
          <cell r="C146">
            <v>200359</v>
          </cell>
          <cell r="AG146" t="str">
            <v xml:space="preserve"> 310000014</v>
          </cell>
        </row>
        <row r="147">
          <cell r="C147">
            <v>200360</v>
          </cell>
          <cell r="AG147" t="str">
            <v xml:space="preserve"> 310000014</v>
          </cell>
        </row>
        <row r="148">
          <cell r="C148">
            <v>200361</v>
          </cell>
          <cell r="AG148" t="str">
            <v xml:space="preserve"> 310000014</v>
          </cell>
        </row>
        <row r="149">
          <cell r="C149">
            <v>200362</v>
          </cell>
          <cell r="AG149" t="str">
            <v xml:space="preserve"> 310000014</v>
          </cell>
        </row>
        <row r="150">
          <cell r="C150">
            <v>200363</v>
          </cell>
          <cell r="AG150" t="str">
            <v xml:space="preserve"> 310000014</v>
          </cell>
        </row>
        <row r="151">
          <cell r="C151">
            <v>200364</v>
          </cell>
          <cell r="AG151" t="str">
            <v xml:space="preserve"> 310000014</v>
          </cell>
        </row>
        <row r="152">
          <cell r="C152">
            <v>200365</v>
          </cell>
          <cell r="AG152" t="str">
            <v xml:space="preserve"> 310000014</v>
          </cell>
        </row>
        <row r="153">
          <cell r="C153">
            <v>200366</v>
          </cell>
          <cell r="AG153" t="str">
            <v xml:space="preserve"> 310000014</v>
          </cell>
        </row>
        <row r="154">
          <cell r="C154">
            <v>200367</v>
          </cell>
          <cell r="AG154" t="str">
            <v xml:space="preserve"> 310000014</v>
          </cell>
        </row>
        <row r="155">
          <cell r="C155">
            <v>200368</v>
          </cell>
          <cell r="AG155" t="str">
            <v xml:space="preserve"> 310000014</v>
          </cell>
        </row>
        <row r="156">
          <cell r="C156">
            <v>200369</v>
          </cell>
          <cell r="AG156" t="str">
            <v xml:space="preserve"> 310000014</v>
          </cell>
        </row>
        <row r="157">
          <cell r="C157">
            <v>200370</v>
          </cell>
          <cell r="AG157" t="str">
            <v xml:space="preserve"> 310000014</v>
          </cell>
        </row>
        <row r="158">
          <cell r="C158">
            <v>200371</v>
          </cell>
          <cell r="AG158" t="str">
            <v xml:space="preserve"> 310000014</v>
          </cell>
        </row>
        <row r="159">
          <cell r="C159">
            <v>200372</v>
          </cell>
          <cell r="AG159" t="str">
            <v xml:space="preserve"> 310000014</v>
          </cell>
        </row>
        <row r="160">
          <cell r="C160">
            <v>200373</v>
          </cell>
          <cell r="AG160" t="str">
            <v xml:space="preserve"> 310000014</v>
          </cell>
        </row>
        <row r="161">
          <cell r="C161">
            <v>200374</v>
          </cell>
          <cell r="AG161" t="str">
            <v xml:space="preserve"> 310000014</v>
          </cell>
        </row>
        <row r="162">
          <cell r="C162">
            <v>200375</v>
          </cell>
          <cell r="AG162" t="str">
            <v xml:space="preserve"> 310000014</v>
          </cell>
        </row>
        <row r="163">
          <cell r="C163">
            <v>200376</v>
          </cell>
          <cell r="AG163" t="str">
            <v xml:space="preserve"> 310000014</v>
          </cell>
        </row>
        <row r="164">
          <cell r="C164">
            <v>200377</v>
          </cell>
          <cell r="AG164" t="str">
            <v xml:space="preserve"> 310000014</v>
          </cell>
        </row>
        <row r="165">
          <cell r="C165">
            <v>200378</v>
          </cell>
          <cell r="AG165" t="str">
            <v xml:space="preserve"> 310000014</v>
          </cell>
        </row>
        <row r="166">
          <cell r="C166">
            <v>200379</v>
          </cell>
          <cell r="AG166" t="str">
            <v xml:space="preserve"> 310000014</v>
          </cell>
        </row>
        <row r="167">
          <cell r="C167">
            <v>200380</v>
          </cell>
          <cell r="AG167" t="str">
            <v xml:space="preserve"> 310000014</v>
          </cell>
        </row>
        <row r="168">
          <cell r="C168">
            <v>200381</v>
          </cell>
          <cell r="AG168" t="str">
            <v xml:space="preserve"> 310000014</v>
          </cell>
        </row>
        <row r="169">
          <cell r="C169">
            <v>200382</v>
          </cell>
          <cell r="AG169" t="str">
            <v xml:space="preserve"> 310000014</v>
          </cell>
        </row>
        <row r="170">
          <cell r="C170">
            <v>200383</v>
          </cell>
          <cell r="AG170" t="str">
            <v xml:space="preserve"> 310000014</v>
          </cell>
        </row>
        <row r="171">
          <cell r="C171">
            <v>200384</v>
          </cell>
          <cell r="AG171" t="str">
            <v xml:space="preserve"> 310000014</v>
          </cell>
        </row>
        <row r="172">
          <cell r="C172">
            <v>200385</v>
          </cell>
          <cell r="AG172" t="str">
            <v xml:space="preserve"> 310000014</v>
          </cell>
        </row>
        <row r="173">
          <cell r="C173">
            <v>200386</v>
          </cell>
          <cell r="AG173" t="str">
            <v xml:space="preserve"> 310000014</v>
          </cell>
        </row>
        <row r="174">
          <cell r="C174">
            <v>200387</v>
          </cell>
          <cell r="AG174" t="str">
            <v xml:space="preserve"> 310000014</v>
          </cell>
        </row>
        <row r="175">
          <cell r="C175">
            <v>200388</v>
          </cell>
          <cell r="AG175" t="str">
            <v xml:space="preserve"> 310000014</v>
          </cell>
        </row>
        <row r="176">
          <cell r="C176">
            <v>200389</v>
          </cell>
          <cell r="AG176" t="str">
            <v xml:space="preserve"> 310000014</v>
          </cell>
        </row>
        <row r="177">
          <cell r="C177">
            <v>200390</v>
          </cell>
          <cell r="AG177" t="str">
            <v xml:space="preserve"> 310000014</v>
          </cell>
        </row>
        <row r="178">
          <cell r="C178">
            <v>200391</v>
          </cell>
          <cell r="AG178" t="str">
            <v xml:space="preserve"> 310000014</v>
          </cell>
        </row>
        <row r="179">
          <cell r="C179">
            <v>200392</v>
          </cell>
          <cell r="AG179" t="str">
            <v xml:space="preserve"> 310000014</v>
          </cell>
        </row>
        <row r="180">
          <cell r="C180">
            <v>200393</v>
          </cell>
          <cell r="AG180" t="str">
            <v xml:space="preserve"> 310000014</v>
          </cell>
        </row>
        <row r="181">
          <cell r="C181">
            <v>200394</v>
          </cell>
          <cell r="AG181" t="str">
            <v xml:space="preserve"> 310000014</v>
          </cell>
        </row>
        <row r="182">
          <cell r="C182">
            <v>200395</v>
          </cell>
          <cell r="AG182" t="str">
            <v xml:space="preserve"> 310000014</v>
          </cell>
        </row>
        <row r="183">
          <cell r="C183">
            <v>200396</v>
          </cell>
          <cell r="AG183" t="str">
            <v xml:space="preserve"> 310000014</v>
          </cell>
        </row>
        <row r="184">
          <cell r="C184">
            <v>200397</v>
          </cell>
          <cell r="AG184" t="str">
            <v xml:space="preserve"> 310000014</v>
          </cell>
        </row>
        <row r="185">
          <cell r="C185">
            <v>200398</v>
          </cell>
          <cell r="AG185" t="str">
            <v xml:space="preserve"> 310000014</v>
          </cell>
        </row>
        <row r="186">
          <cell r="C186">
            <v>200399</v>
          </cell>
          <cell r="AG186" t="str">
            <v xml:space="preserve"> 310000014</v>
          </cell>
        </row>
        <row r="187">
          <cell r="C187">
            <v>200400</v>
          </cell>
          <cell r="AG187" t="str">
            <v xml:space="preserve"> 310000014</v>
          </cell>
        </row>
        <row r="188">
          <cell r="C188">
            <v>200401</v>
          </cell>
          <cell r="AG188" t="str">
            <v xml:space="preserve"> 310000014</v>
          </cell>
        </row>
        <row r="189">
          <cell r="C189">
            <v>200402</v>
          </cell>
          <cell r="AG189" t="str">
            <v xml:space="preserve"> 310000014</v>
          </cell>
        </row>
        <row r="190">
          <cell r="C190">
            <v>200403</v>
          </cell>
          <cell r="AG190" t="str">
            <v xml:space="preserve"> 310000014</v>
          </cell>
        </row>
        <row r="191">
          <cell r="C191">
            <v>200404</v>
          </cell>
          <cell r="AG191" t="str">
            <v xml:space="preserve"> 310000014</v>
          </cell>
        </row>
        <row r="192">
          <cell r="C192">
            <v>200406</v>
          </cell>
          <cell r="AG192" t="str">
            <v xml:space="preserve"> 310000030</v>
          </cell>
        </row>
        <row r="193">
          <cell r="C193">
            <v>200407</v>
          </cell>
          <cell r="AG193" t="str">
            <v xml:space="preserve"> 310000030</v>
          </cell>
        </row>
        <row r="194">
          <cell r="C194">
            <v>200408</v>
          </cell>
          <cell r="AG194" t="str">
            <v xml:space="preserve"> 310000030</v>
          </cell>
        </row>
        <row r="195">
          <cell r="C195">
            <v>200409</v>
          </cell>
          <cell r="AG195" t="str">
            <v xml:space="preserve"> 310000030</v>
          </cell>
        </row>
        <row r="196">
          <cell r="C196">
            <v>200410</v>
          </cell>
          <cell r="AG196" t="str">
            <v xml:space="preserve"> 310000030</v>
          </cell>
        </row>
        <row r="197">
          <cell r="C197">
            <v>200411</v>
          </cell>
          <cell r="AG197" t="str">
            <v xml:space="preserve"> 310000030</v>
          </cell>
        </row>
        <row r="198">
          <cell r="C198">
            <v>200603</v>
          </cell>
          <cell r="AG198" t="str">
            <v xml:space="preserve"> 100010000</v>
          </cell>
        </row>
        <row r="199">
          <cell r="C199">
            <v>200604</v>
          </cell>
          <cell r="AG199" t="str">
            <v xml:space="preserve"> 100000185</v>
          </cell>
        </row>
        <row r="200">
          <cell r="C200">
            <v>200605</v>
          </cell>
          <cell r="AG200" t="str">
            <v xml:space="preserve"> 100000250</v>
          </cell>
        </row>
        <row r="201">
          <cell r="C201">
            <v>200606</v>
          </cell>
          <cell r="AG201" t="str">
            <v xml:space="preserve"> 100000250</v>
          </cell>
        </row>
        <row r="202">
          <cell r="C202">
            <v>200607</v>
          </cell>
          <cell r="AG202" t="str">
            <v xml:space="preserve"> 100000250</v>
          </cell>
        </row>
        <row r="203">
          <cell r="C203">
            <v>200608</v>
          </cell>
          <cell r="AG203" t="str">
            <v xml:space="preserve"> 110000180</v>
          </cell>
        </row>
        <row r="204">
          <cell r="C204">
            <v>200616</v>
          </cell>
          <cell r="AG204" t="str">
            <v xml:space="preserve"> 210004500/210001500/210000500</v>
          </cell>
        </row>
        <row r="205">
          <cell r="C205">
            <v>200617</v>
          </cell>
          <cell r="AG205" t="str">
            <v xml:space="preserve"> 210000100</v>
          </cell>
        </row>
        <row r="206">
          <cell r="C206">
            <v>200618</v>
          </cell>
          <cell r="AG206" t="str">
            <v xml:space="preserve"> 200000375</v>
          </cell>
        </row>
        <row r="207">
          <cell r="C207">
            <v>200619</v>
          </cell>
          <cell r="AG207" t="str">
            <v xml:space="preserve"> 210000500</v>
          </cell>
        </row>
        <row r="208">
          <cell r="C208">
            <v>200620</v>
          </cell>
          <cell r="AG208" t="str">
            <v xml:space="preserve"> 210000500</v>
          </cell>
        </row>
        <row r="209">
          <cell r="C209">
            <v>200621</v>
          </cell>
          <cell r="AG209" t="str">
            <v xml:space="preserve"> 210010000</v>
          </cell>
        </row>
        <row r="210">
          <cell r="C210">
            <v>200623</v>
          </cell>
          <cell r="AG210" t="str">
            <v xml:space="preserve"> 210040000/210020000/210010000</v>
          </cell>
        </row>
        <row r="211">
          <cell r="C211">
            <v>200624</v>
          </cell>
          <cell r="AG211" t="str">
            <v xml:space="preserve"> 210002000</v>
          </cell>
        </row>
        <row r="212">
          <cell r="C212">
            <v>200625</v>
          </cell>
          <cell r="AG212" t="str">
            <v xml:space="preserve"> 210000500</v>
          </cell>
        </row>
        <row r="213">
          <cell r="C213">
            <v>200626</v>
          </cell>
          <cell r="AG213" t="str">
            <v xml:space="preserve"> 210000500</v>
          </cell>
        </row>
        <row r="214">
          <cell r="C214">
            <v>200627</v>
          </cell>
          <cell r="AG214" t="str">
            <v xml:space="preserve"> 610020000/210060000/210020000/210010000</v>
          </cell>
        </row>
        <row r="215">
          <cell r="AG215" t="e">
            <v>#VALUE!</v>
          </cell>
        </row>
        <row r="216">
          <cell r="AG216" t="e">
            <v>#VALUE!</v>
          </cell>
        </row>
        <row r="217">
          <cell r="AG217" t="e">
            <v>#VALUE!</v>
          </cell>
        </row>
        <row r="218">
          <cell r="AG218" t="e">
            <v>#VALUE!</v>
          </cell>
        </row>
        <row r="219">
          <cell r="AG219" t="e">
            <v>#VALUE!</v>
          </cell>
        </row>
        <row r="220">
          <cell r="AG220" t="e">
            <v>#VALUE!</v>
          </cell>
        </row>
        <row r="221">
          <cell r="AG221" t="e">
            <v>#VALUE!</v>
          </cell>
        </row>
        <row r="222">
          <cell r="AG222" t="e">
            <v>#VALUE!</v>
          </cell>
        </row>
        <row r="223">
          <cell r="AG223" t="e">
            <v>#VALUE!</v>
          </cell>
        </row>
        <row r="224">
          <cell r="AG224" t="e">
            <v>#VALUE!</v>
          </cell>
        </row>
        <row r="225">
          <cell r="AG225" t="e">
            <v>#VALUE!</v>
          </cell>
        </row>
        <row r="226">
          <cell r="AG226" t="e">
            <v>#VALUE!</v>
          </cell>
        </row>
        <row r="227">
          <cell r="AG227" t="e">
            <v>#VALUE!</v>
          </cell>
        </row>
        <row r="228">
          <cell r="AG228" t="e">
            <v>#VALUE!</v>
          </cell>
        </row>
        <row r="229">
          <cell r="AG229" t="e">
            <v>#VALUE!</v>
          </cell>
        </row>
        <row r="230">
          <cell r="AG230" t="e">
            <v>#VALUE!</v>
          </cell>
        </row>
        <row r="231">
          <cell r="AG231" t="e">
            <v>#VALUE!</v>
          </cell>
        </row>
        <row r="232">
          <cell r="AG232" t="e">
            <v>#VALUE!</v>
          </cell>
        </row>
        <row r="233">
          <cell r="AG233" t="e">
            <v>#VALUE!</v>
          </cell>
        </row>
        <row r="234">
          <cell r="AG234" t="e">
            <v>#VALUE!</v>
          </cell>
        </row>
        <row r="235">
          <cell r="AG235" t="e">
            <v>#VALUE!</v>
          </cell>
        </row>
        <row r="236">
          <cell r="AG236" t="e">
            <v>#VALUE!</v>
          </cell>
        </row>
        <row r="237">
          <cell r="AG237" t="e">
            <v>#VALUE!</v>
          </cell>
        </row>
        <row r="238">
          <cell r="AG238" t="e">
            <v>#VALUE!</v>
          </cell>
        </row>
        <row r="239">
          <cell r="AG239" t="e">
            <v>#VALUE!</v>
          </cell>
        </row>
        <row r="240">
          <cell r="AG240" t="e">
            <v>#VALUE!</v>
          </cell>
        </row>
        <row r="241">
          <cell r="AG241" t="e">
            <v>#VALUE!</v>
          </cell>
        </row>
        <row r="242">
          <cell r="AG242" t="e">
            <v>#VALUE!</v>
          </cell>
        </row>
        <row r="243">
          <cell r="AG243" t="e">
            <v>#VALUE!</v>
          </cell>
        </row>
        <row r="244">
          <cell r="AG244" t="e">
            <v>#VALUE!</v>
          </cell>
        </row>
        <row r="245">
          <cell r="AG245" t="e">
            <v>#VALUE!</v>
          </cell>
        </row>
        <row r="246">
          <cell r="AG246" t="e">
            <v>#VALUE!</v>
          </cell>
        </row>
        <row r="247">
          <cell r="AG247" t="e">
            <v>#VALUE!</v>
          </cell>
        </row>
        <row r="248">
          <cell r="AG248" t="e">
            <v>#VALUE!</v>
          </cell>
        </row>
        <row r="249">
          <cell r="AG249" t="e">
            <v>#VALUE!</v>
          </cell>
        </row>
        <row r="250">
          <cell r="AG250" t="e">
            <v>#VALUE!</v>
          </cell>
        </row>
        <row r="251">
          <cell r="AG251" t="e">
            <v>#VALUE!</v>
          </cell>
        </row>
        <row r="252">
          <cell r="AG252" t="e">
            <v>#VALUE!</v>
          </cell>
        </row>
        <row r="253">
          <cell r="AG253" t="e">
            <v>#VALUE!</v>
          </cell>
        </row>
        <row r="254">
          <cell r="AG254" t="e">
            <v>#VALUE!</v>
          </cell>
        </row>
        <row r="255">
          <cell r="AG255" t="e">
            <v>#VALUE!</v>
          </cell>
        </row>
        <row r="256">
          <cell r="AG256" t="e">
            <v>#VALUE!</v>
          </cell>
        </row>
        <row r="257">
          <cell r="AG257" t="e">
            <v>#VALUE!</v>
          </cell>
        </row>
        <row r="258">
          <cell r="AG258" t="e">
            <v>#VALUE!</v>
          </cell>
        </row>
        <row r="259">
          <cell r="AG259" t="e">
            <v>#VALUE!</v>
          </cell>
        </row>
        <row r="260">
          <cell r="AG260" t="e">
            <v>#VALUE!</v>
          </cell>
        </row>
        <row r="261">
          <cell r="AG261" t="e">
            <v>#VALUE!</v>
          </cell>
        </row>
        <row r="262">
          <cell r="AG262" t="e">
            <v>#VALUE!</v>
          </cell>
        </row>
        <row r="263">
          <cell r="AG263" t="e">
            <v>#VALUE!</v>
          </cell>
        </row>
        <row r="264">
          <cell r="AG264" t="e">
            <v>#VALUE!</v>
          </cell>
        </row>
        <row r="265">
          <cell r="AG265" t="e">
            <v>#VALUE!</v>
          </cell>
        </row>
        <row r="266">
          <cell r="AG266" t="e">
            <v>#VALUE!</v>
          </cell>
        </row>
        <row r="267">
          <cell r="AG267" t="e">
            <v>#VALUE!</v>
          </cell>
        </row>
        <row r="268">
          <cell r="AG268" t="e">
            <v>#VALUE!</v>
          </cell>
        </row>
        <row r="269">
          <cell r="AG269" t="e">
            <v>#VALUE!</v>
          </cell>
        </row>
        <row r="270">
          <cell r="AG270" t="e">
            <v>#VALUE!</v>
          </cell>
        </row>
        <row r="271">
          <cell r="AG271" t="e">
            <v>#VALUE!</v>
          </cell>
        </row>
        <row r="272">
          <cell r="AG272" t="e">
            <v>#VALUE!</v>
          </cell>
        </row>
        <row r="273">
          <cell r="AG273" t="e">
            <v>#VALUE!</v>
          </cell>
        </row>
        <row r="274">
          <cell r="AG274" t="e">
            <v>#VALUE!</v>
          </cell>
        </row>
        <row r="275">
          <cell r="AG275" t="e">
            <v>#VALUE!</v>
          </cell>
        </row>
        <row r="276">
          <cell r="AG276" t="e">
            <v>#VALUE!</v>
          </cell>
        </row>
        <row r="277">
          <cell r="AG277" t="e">
            <v>#VALUE!</v>
          </cell>
        </row>
        <row r="278">
          <cell r="AG278" t="e">
            <v>#VALUE!</v>
          </cell>
        </row>
        <row r="279">
          <cell r="AG279" t="e">
            <v>#VALUE!</v>
          </cell>
        </row>
        <row r="280">
          <cell r="AG280" t="e">
            <v>#VALUE!</v>
          </cell>
        </row>
        <row r="281">
          <cell r="AG281" t="e">
            <v>#VALUE!</v>
          </cell>
        </row>
        <row r="282">
          <cell r="AG282" t="e">
            <v>#VALUE!</v>
          </cell>
        </row>
        <row r="283">
          <cell r="AG283" t="e">
            <v>#VALUE!</v>
          </cell>
        </row>
        <row r="284">
          <cell r="AG284" t="e">
            <v>#VALUE!</v>
          </cell>
        </row>
        <row r="285">
          <cell r="AG285" t="e">
            <v>#VALUE!</v>
          </cell>
        </row>
        <row r="286">
          <cell r="AG286" t="e">
            <v>#VALUE!</v>
          </cell>
        </row>
        <row r="287">
          <cell r="AG287" t="e">
            <v>#VALUE!</v>
          </cell>
        </row>
        <row r="288">
          <cell r="AG288" t="e">
            <v>#VALUE!</v>
          </cell>
        </row>
        <row r="289">
          <cell r="AG289" t="e">
            <v>#VALUE!</v>
          </cell>
        </row>
        <row r="290">
          <cell r="AG290" t="e">
            <v>#VALUE!</v>
          </cell>
        </row>
        <row r="291">
          <cell r="AG291" t="e">
            <v>#VALUE!</v>
          </cell>
        </row>
        <row r="292">
          <cell r="AG292" t="e">
            <v>#VALUE!</v>
          </cell>
        </row>
        <row r="293">
          <cell r="AG293" t="e">
            <v>#VALUE!</v>
          </cell>
        </row>
        <row r="294">
          <cell r="AG294" t="e">
            <v>#VALUE!</v>
          </cell>
        </row>
        <row r="295">
          <cell r="AG295" t="e">
            <v>#VALUE!</v>
          </cell>
        </row>
        <row r="296">
          <cell r="AG296" t="e">
            <v>#VALUE!</v>
          </cell>
        </row>
        <row r="297">
          <cell r="AG297" t="e">
            <v>#VALUE!</v>
          </cell>
        </row>
        <row r="298">
          <cell r="AG298" t="e">
            <v>#VALUE!</v>
          </cell>
        </row>
        <row r="299">
          <cell r="AG299" t="e">
            <v>#VALUE!</v>
          </cell>
        </row>
        <row r="300">
          <cell r="AG300" t="e">
            <v>#VALUE!</v>
          </cell>
        </row>
        <row r="301">
          <cell r="AG301" t="e">
            <v>#VALUE!</v>
          </cell>
        </row>
        <row r="302">
          <cell r="AG302" t="e">
            <v>#VALUE!</v>
          </cell>
        </row>
        <row r="303">
          <cell r="AG303" t="e">
            <v>#VALUE!</v>
          </cell>
        </row>
        <row r="304">
          <cell r="AG304" t="e">
            <v>#VALUE!</v>
          </cell>
        </row>
        <row r="305">
          <cell r="AG305" t="e">
            <v>#VALUE!</v>
          </cell>
        </row>
        <row r="306">
          <cell r="AG306" t="e">
            <v>#VALUE!</v>
          </cell>
        </row>
        <row r="307">
          <cell r="AG307" t="e">
            <v>#VALUE!</v>
          </cell>
        </row>
        <row r="308">
          <cell r="AG308" t="e">
            <v>#VALUE!</v>
          </cell>
        </row>
        <row r="309">
          <cell r="AG309" t="e">
            <v>#VALUE!</v>
          </cell>
        </row>
        <row r="310">
          <cell r="AG310" t="e">
            <v>#VALUE!</v>
          </cell>
        </row>
        <row r="311">
          <cell r="AG311" t="e">
            <v>#VALUE!</v>
          </cell>
        </row>
        <row r="312">
          <cell r="AG312" t="e">
            <v>#VALUE!</v>
          </cell>
        </row>
        <row r="313">
          <cell r="AG313" t="e">
            <v>#VALUE!</v>
          </cell>
        </row>
        <row r="314">
          <cell r="AG314" t="e">
            <v>#VALUE!</v>
          </cell>
        </row>
        <row r="315">
          <cell r="AG315" t="e">
            <v>#VALUE!</v>
          </cell>
        </row>
        <row r="316">
          <cell r="AG316" t="e">
            <v>#VALUE!</v>
          </cell>
        </row>
        <row r="317">
          <cell r="AG317" t="e">
            <v>#VALUE!</v>
          </cell>
        </row>
        <row r="318">
          <cell r="AG318" t="e">
            <v>#VALUE!</v>
          </cell>
        </row>
        <row r="319">
          <cell r="AG319" t="e">
            <v>#VALUE!</v>
          </cell>
        </row>
        <row r="320">
          <cell r="AG320" t="e">
            <v>#VALUE!</v>
          </cell>
        </row>
        <row r="321">
          <cell r="AG321" t="e">
            <v>#VALUE!</v>
          </cell>
        </row>
        <row r="322">
          <cell r="AG322" t="e">
            <v>#VALUE!</v>
          </cell>
        </row>
        <row r="323">
          <cell r="AG323" t="e">
            <v>#VALUE!</v>
          </cell>
        </row>
        <row r="324">
          <cell r="AG324" t="e">
            <v>#VALUE!</v>
          </cell>
        </row>
        <row r="325">
          <cell r="AG325" t="e">
            <v>#VALUE!</v>
          </cell>
        </row>
        <row r="326">
          <cell r="AG326" t="e">
            <v>#VALUE!</v>
          </cell>
        </row>
        <row r="327">
          <cell r="AG327" t="e">
            <v>#VALUE!</v>
          </cell>
        </row>
        <row r="328">
          <cell r="AG328" t="e">
            <v>#VALUE!</v>
          </cell>
        </row>
        <row r="329">
          <cell r="AG329" t="e">
            <v>#VALUE!</v>
          </cell>
        </row>
        <row r="330">
          <cell r="AG330" t="e">
            <v>#VALUE!</v>
          </cell>
        </row>
        <row r="331">
          <cell r="AG331" t="e">
            <v>#VALUE!</v>
          </cell>
        </row>
        <row r="332">
          <cell r="AG332" t="e">
            <v>#VALUE!</v>
          </cell>
        </row>
        <row r="333">
          <cell r="AG333" t="e">
            <v>#VALUE!</v>
          </cell>
        </row>
        <row r="334">
          <cell r="AG334" t="e">
            <v>#VALUE!</v>
          </cell>
        </row>
        <row r="335">
          <cell r="AG335" t="e">
            <v>#VALUE!</v>
          </cell>
        </row>
        <row r="336">
          <cell r="AG336" t="e">
            <v>#VALUE!</v>
          </cell>
        </row>
        <row r="337">
          <cell r="AG337" t="e">
            <v>#VALUE!</v>
          </cell>
        </row>
        <row r="338">
          <cell r="AG338" t="e">
            <v>#VALUE!</v>
          </cell>
        </row>
        <row r="339">
          <cell r="AG339" t="e">
            <v>#VALUE!</v>
          </cell>
        </row>
        <row r="340">
          <cell r="AG340" t="e">
            <v>#VALUE!</v>
          </cell>
        </row>
        <row r="341">
          <cell r="AG341" t="e">
            <v>#VALUE!</v>
          </cell>
        </row>
        <row r="342">
          <cell r="AG342" t="e">
            <v>#VALUE!</v>
          </cell>
        </row>
        <row r="343">
          <cell r="AG343" t="e">
            <v>#VALUE!</v>
          </cell>
        </row>
        <row r="344">
          <cell r="AG344" t="e">
            <v>#VALUE!</v>
          </cell>
        </row>
        <row r="345">
          <cell r="AG345" t="e">
            <v>#VALUE!</v>
          </cell>
        </row>
        <row r="346">
          <cell r="AG346" t="e">
            <v>#VALUE!</v>
          </cell>
        </row>
        <row r="347">
          <cell r="AG347" t="e">
            <v>#VALUE!</v>
          </cell>
        </row>
        <row r="348">
          <cell r="AG348" t="e">
            <v>#VALUE!</v>
          </cell>
        </row>
        <row r="349">
          <cell r="AG349" t="e">
            <v>#VALUE!</v>
          </cell>
        </row>
        <row r="350">
          <cell r="AG350" t="e">
            <v>#VALUE!</v>
          </cell>
        </row>
        <row r="351">
          <cell r="AG351" t="e">
            <v>#VALUE!</v>
          </cell>
        </row>
        <row r="352">
          <cell r="AG352" t="e">
            <v>#VALUE!</v>
          </cell>
        </row>
        <row r="353">
          <cell r="AG353" t="e">
            <v>#VALUE!</v>
          </cell>
        </row>
        <row r="354">
          <cell r="AG354" t="e">
            <v>#VALUE!</v>
          </cell>
        </row>
        <row r="355">
          <cell r="AG355" t="e">
            <v>#VALUE!</v>
          </cell>
        </row>
        <row r="356">
          <cell r="AG356" t="e">
            <v>#VALUE!</v>
          </cell>
        </row>
        <row r="357">
          <cell r="AG357" t="e">
            <v>#VALUE!</v>
          </cell>
        </row>
        <row r="358">
          <cell r="AG358" t="e">
            <v>#VALUE!</v>
          </cell>
        </row>
        <row r="359">
          <cell r="AG359" t="e">
            <v>#VALUE!</v>
          </cell>
        </row>
        <row r="360">
          <cell r="AG360" t="e">
            <v>#VALUE!</v>
          </cell>
        </row>
        <row r="361">
          <cell r="AG361" t="e">
            <v>#VALUE!</v>
          </cell>
        </row>
        <row r="362">
          <cell r="AG362" t="e">
            <v>#VALUE!</v>
          </cell>
        </row>
        <row r="363">
          <cell r="AG363" t="e">
            <v>#VALUE!</v>
          </cell>
        </row>
        <row r="364">
          <cell r="AG364" t="e">
            <v>#VALUE!</v>
          </cell>
        </row>
        <row r="365">
          <cell r="AG365" t="e">
            <v>#VALUE!</v>
          </cell>
        </row>
        <row r="366">
          <cell r="AG366" t="e">
            <v>#VALUE!</v>
          </cell>
        </row>
        <row r="367">
          <cell r="AG367" t="e">
            <v>#VALUE!</v>
          </cell>
        </row>
        <row r="368">
          <cell r="AG368" t="e">
            <v>#VALUE!</v>
          </cell>
        </row>
        <row r="369">
          <cell r="AG369" t="e">
            <v>#VALUE!</v>
          </cell>
        </row>
        <row r="370">
          <cell r="AG370" t="e">
            <v>#VALUE!</v>
          </cell>
        </row>
        <row r="371">
          <cell r="AG371" t="e">
            <v>#VALUE!</v>
          </cell>
        </row>
        <row r="372">
          <cell r="AG372" t="e">
            <v>#VALUE!</v>
          </cell>
        </row>
        <row r="373">
          <cell r="AG373" t="e">
            <v>#VALUE!</v>
          </cell>
        </row>
        <row r="374">
          <cell r="AG374" t="e">
            <v>#VALUE!</v>
          </cell>
        </row>
        <row r="375">
          <cell r="AG375" t="e">
            <v>#VALUE!</v>
          </cell>
        </row>
        <row r="376">
          <cell r="AG376" t="e">
            <v>#VALUE!</v>
          </cell>
        </row>
        <row r="377">
          <cell r="AG377" t="e">
            <v>#VALUE!</v>
          </cell>
        </row>
        <row r="378">
          <cell r="AG378" t="e">
            <v>#VALUE!</v>
          </cell>
        </row>
        <row r="379">
          <cell r="AG379" t="e">
            <v>#VALUE!</v>
          </cell>
        </row>
        <row r="380">
          <cell r="AG380" t="e">
            <v>#VALUE!</v>
          </cell>
        </row>
        <row r="381">
          <cell r="AG381" t="e">
            <v>#VALUE!</v>
          </cell>
        </row>
        <row r="382">
          <cell r="AG382" t="e">
            <v>#VALUE!</v>
          </cell>
        </row>
        <row r="383">
          <cell r="AG383" t="e">
            <v>#VALUE!</v>
          </cell>
        </row>
        <row r="384">
          <cell r="AG384" t="e">
            <v>#VALUE!</v>
          </cell>
        </row>
        <row r="385">
          <cell r="AG385" t="e">
            <v>#VALUE!</v>
          </cell>
        </row>
        <row r="386">
          <cell r="AG386" t="e">
            <v>#VALUE!</v>
          </cell>
        </row>
        <row r="387">
          <cell r="AG387" t="e">
            <v>#VALUE!</v>
          </cell>
        </row>
        <row r="388">
          <cell r="AG388" t="e">
            <v>#VALUE!</v>
          </cell>
        </row>
        <row r="389">
          <cell r="AG389" t="e">
            <v>#VALUE!</v>
          </cell>
        </row>
        <row r="390">
          <cell r="AG390" t="e">
            <v>#VALUE!</v>
          </cell>
        </row>
        <row r="391">
          <cell r="AG391" t="e">
            <v>#VALUE!</v>
          </cell>
        </row>
        <row r="392">
          <cell r="AG392" t="e">
            <v>#VALUE!</v>
          </cell>
        </row>
        <row r="393">
          <cell r="AG393" t="e">
            <v>#VALUE!</v>
          </cell>
        </row>
        <row r="394">
          <cell r="AG394" t="e">
            <v>#VALUE!</v>
          </cell>
        </row>
        <row r="395">
          <cell r="AG395" t="e">
            <v>#VALUE!</v>
          </cell>
        </row>
        <row r="396">
          <cell r="AG396" t="e">
            <v>#VALUE!</v>
          </cell>
        </row>
        <row r="397">
          <cell r="AG397" t="e">
            <v>#VALUE!</v>
          </cell>
        </row>
        <row r="398">
          <cell r="AG398" t="e">
            <v>#VALUE!</v>
          </cell>
        </row>
        <row r="399">
          <cell r="AG399" t="e">
            <v>#VALUE!</v>
          </cell>
        </row>
        <row r="400">
          <cell r="AG400" t="e">
            <v>#VALUE!</v>
          </cell>
        </row>
        <row r="401">
          <cell r="AG401" t="e">
            <v>#VALUE!</v>
          </cell>
        </row>
        <row r="402">
          <cell r="AG402" t="e">
            <v>#VALUE!</v>
          </cell>
        </row>
        <row r="403">
          <cell r="AG403" t="e">
            <v>#VALUE!</v>
          </cell>
        </row>
        <row r="404">
          <cell r="AG404" t="e">
            <v>#VALUE!</v>
          </cell>
        </row>
        <row r="405">
          <cell r="AG405" t="e">
            <v>#VALUE!</v>
          </cell>
        </row>
        <row r="406">
          <cell r="AG406" t="e">
            <v>#VALUE!</v>
          </cell>
        </row>
        <row r="407">
          <cell r="AG407" t="e">
            <v>#VALUE!</v>
          </cell>
        </row>
        <row r="408">
          <cell r="AG408" t="e">
            <v>#VALUE!</v>
          </cell>
        </row>
        <row r="409">
          <cell r="AG409" t="e">
            <v>#VALUE!</v>
          </cell>
        </row>
        <row r="410">
          <cell r="AG410" t="e">
            <v>#VALUE!</v>
          </cell>
        </row>
        <row r="411">
          <cell r="AG411" t="e">
            <v>#VALUE!</v>
          </cell>
        </row>
        <row r="412">
          <cell r="AG412" t="e">
            <v>#VALUE!</v>
          </cell>
        </row>
        <row r="413">
          <cell r="AG413" t="e">
            <v>#VALUE!</v>
          </cell>
        </row>
        <row r="414">
          <cell r="AG414" t="e">
            <v>#VALUE!</v>
          </cell>
        </row>
        <row r="415">
          <cell r="AG415" t="e">
            <v>#VALUE!</v>
          </cell>
        </row>
        <row r="416">
          <cell r="AG416" t="e">
            <v>#VALUE!</v>
          </cell>
        </row>
        <row r="417">
          <cell r="AG417" t="e">
            <v>#VALUE!</v>
          </cell>
        </row>
        <row r="418">
          <cell r="AG418" t="e">
            <v>#VALUE!</v>
          </cell>
        </row>
        <row r="419">
          <cell r="AG419" t="e">
            <v>#VALUE!</v>
          </cell>
        </row>
        <row r="420">
          <cell r="AG420" t="e">
            <v>#VALUE!</v>
          </cell>
        </row>
        <row r="421">
          <cell r="AG421" t="e">
            <v>#VALUE!</v>
          </cell>
        </row>
        <row r="422">
          <cell r="AG422" t="e">
            <v>#VALUE!</v>
          </cell>
        </row>
        <row r="423">
          <cell r="AG423" t="e">
            <v>#VALUE!</v>
          </cell>
        </row>
        <row r="424">
          <cell r="AG424" t="e">
            <v>#VALUE!</v>
          </cell>
        </row>
        <row r="425">
          <cell r="AG425" t="e">
            <v>#VALUE!</v>
          </cell>
        </row>
        <row r="426">
          <cell r="AG426" t="e">
            <v>#VALUE!</v>
          </cell>
        </row>
        <row r="427">
          <cell r="AG427" t="e">
            <v>#VALUE!</v>
          </cell>
        </row>
        <row r="428">
          <cell r="AG428" t="e">
            <v>#VALUE!</v>
          </cell>
        </row>
        <row r="429">
          <cell r="AG429" t="e">
            <v>#VALUE!</v>
          </cell>
        </row>
        <row r="430">
          <cell r="AG430" t="e">
            <v>#VALUE!</v>
          </cell>
        </row>
        <row r="431">
          <cell r="AG431" t="e">
            <v>#VALUE!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NCERRADA" xr10:uid="{F482046F-AA17-4F4E-BD8C-87610CC95617}" sourceName="ENCERRADA">
  <extLst>
    <x:ext xmlns:x15="http://schemas.microsoft.com/office/spreadsheetml/2010/11/main" uri="{2F2917AC-EB37-4324-AD4E-5DD8C200BD13}">
      <x15:tableSlicerCache tableId="1" column="8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1D864BCF-109D-41DA-8C45-54B1ED3F7830}" sourceName="TIPO">
  <extLst>
    <x:ext xmlns:x15="http://schemas.microsoft.com/office/spreadsheetml/2010/11/main" uri="{2F2917AC-EB37-4324-AD4E-5DD8C200BD13}">
      <x15:tableSlicerCache tableId="1" column="1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LOCAL" xr10:uid="{5CB8576D-8464-499C-9426-711D652E694E}" sourceName="LOCAL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7CC1BA59-E1D9-43A7-8C80-E1C4729D9C4C}" sourceName="SETOR">
  <extLst>
    <x:ext xmlns:x15="http://schemas.microsoft.com/office/spreadsheetml/2010/11/main" uri="{2F2917AC-EB37-4324-AD4E-5DD8C200BD13}">
      <x15:tableSlicerCache tableId="1" column="15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LANO" xr10:uid="{050D2261-1DCA-4590-A8FB-3CBB35D22E72}" sourceName="PLANO">
  <extLst>
    <x:ext xmlns:x15="http://schemas.microsoft.com/office/spreadsheetml/2010/11/main" uri="{2F2917AC-EB37-4324-AD4E-5DD8C200BD13}">
      <x15:tableSlicerCache tableId="1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NCERRADA" xr10:uid="{94309A07-4BE4-4B1B-8F25-6FD658D35756}" cache="SegmentaçãodeDados_ENCERRADA" caption="ENCERRADA" columnCount="3" rowHeight="257175"/>
  <slicer name="TIPO 1" xr10:uid="{EF979F99-279C-423D-890A-40319B34DCAD}" cache="SegmentaçãodeDados_TIPO1" caption="TIPO" rowHeight="257175"/>
  <slicer name="LOCAL" xr10:uid="{FBCDD04E-8E35-4F29-9A93-E745521FA996}" cache="SegmentaçãodeDados_LOCAL" caption="LOCAL" columnCount="2" rowHeight="257175"/>
  <slicer name="SETOR" xr10:uid="{66AE1EC6-0EE7-4C15-83D9-27AE1A0C6836}" cache="SegmentaçãodeDados_SETOR" caption="SETOR" rowHeight="257175"/>
  <slicer name="PLANO" xr10:uid="{4654A8AE-5047-43C3-BDF5-E261E29CFB1A}" cache="SegmentaçãodeDados_PLANO" caption="PLANO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7DBA9E-C47B-42A2-AF2A-AD3970DE1382}" name="Tabela3" displayName="Tabela3" ref="A2:J214" totalsRowShown="0">
  <autoFilter ref="A2:J214" xr:uid="{26CB805D-5612-4AB3-9C88-C89CE782B6BD}"/>
  <tableColumns count="10">
    <tableColumn id="11" xr3:uid="{E237B12F-AF29-493B-A09F-624BC01D12B8}" name="TIPO" dataDxfId="12">
      <calculatedColumnFormula>_xlfn.XLOOKUP(Tabela3[[#This Row],[ORDEM]],[1]BASE_PROGRAMAÇÃO!A:A,[1]BASE_PROGRAMAÇÃO!C:C,"")</calculatedColumnFormula>
    </tableColumn>
    <tableColumn id="1" xr3:uid="{849B3A1E-3359-462F-9D2B-7459BA3454D2}" name="FROTA" dataDxfId="11">
      <calculatedColumnFormula>_xlfn.XLOOKUP(Tabela3[[#This Row],[ORDEM]],[1]BASE_PROGRAMAÇÃO!A:A,[1]BASE_PROGRAMAÇÃO!B:B,"")</calculatedColumnFormula>
    </tableColumn>
    <tableColumn id="2" xr3:uid="{D130B04A-C9A9-4A0A-9DEE-CAC3B83046A7}" name="ORDEM"/>
    <tableColumn id="4" xr3:uid="{40A4D245-67D6-4221-9234-E3791C01EFE4}" name="PLANO" dataDxfId="10">
      <calculatedColumnFormula>_xlfn.XLOOKUP(Tabela3[[#This Row],[Coluna3]],'[1]BASE DE PLANOS'!A:A,'[1]BASE DE PLANOS'!B:B,"")</calculatedColumnFormula>
    </tableColumn>
    <tableColumn id="3" xr3:uid="{3B483699-D104-4AAA-91BC-8EA0DC244BA9}" name="DATA" dataDxfId="9">
      <calculatedColumnFormula>_xlfn.XLOOKUP(Tabela3[[#This Row],[ORDEM]],[1]BASE_PROGRAMAÇÃO!A:A,[1]BASE_PROGRAMAÇÃO!D:D,"")</calculatedColumnFormula>
    </tableColumn>
    <tableColumn id="14" xr3:uid="{36918CCB-7A4C-40BB-BA05-7E6C3C67AC3B}" name="LOCAL" dataDxfId="8">
      <calculatedColumnFormula>_xlfn.XLOOKUP(Tabela3[[#This Row],[ORDEM]],[1]BASE_PROGRAMAÇÃO!A:A,[1]BASE_PROGRAMAÇÃO!O:O,"")</calculatedColumnFormula>
    </tableColumn>
    <tableColumn id="15" xr3:uid="{065F4182-B58A-4B5C-A190-47ABEC9C7089}" name="SETOR" dataDxfId="7">
      <calculatedColumnFormula>_xlfn.XLOOKUP(Tabela3[[#This Row],[ORDEM]],[1]BASE_PROGRAMAÇÃO!A:A,[1]BASE_PROGRAMAÇÃO!L:L,"")</calculatedColumnFormula>
    </tableColumn>
    <tableColumn id="16" xr3:uid="{36056CAD-B253-4C99-9CA8-344CB9D649F3}" name="Coluna3" dataDxfId="6">
      <calculatedColumnFormula>_xlfn.XLOOKUP(Tabela3[[#This Row],[ORDEM]],[2]S_POST!$C:$C,[2]S_POST!$AG:$AG,"")</calculatedColumnFormula>
    </tableColumn>
    <tableColumn id="17" xr3:uid="{BED18816-F2B1-42DC-9753-5E3020DEE25B}" name="Coluna4" dataDxfId="5">
      <calculatedColumnFormula>_xlfn.XLOOKUP(Tabela3[[#This Row],[ORDEM]],[1]BASE_PROGRAMAÇÃO!A:A,[1]BASE_PROGRAMAÇÃO!$E:$E,"")</calculatedColumnFormula>
    </tableColumn>
    <tableColumn id="8" xr3:uid="{52939BC6-3646-47DB-988E-8B064F49931F}" name="ENCERRADA" dataDxfId="4">
      <calculatedColumnFormula>_xlfn.XLOOKUP(Tabela3[[#This Row],[ORDEM]],[1]ENCERRADAS!A:A,[1]ENCERRADAS!B:B,"")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A6EEC-8EB1-401D-B755-FC18541A4BE7}">
  <sheetPr codeName="Planilha13">
    <pageSetUpPr fitToPage="1"/>
  </sheetPr>
  <dimension ref="A1:P364"/>
  <sheetViews>
    <sheetView tabSelected="1" workbookViewId="0">
      <selection activeCell="C3" sqref="C3"/>
    </sheetView>
  </sheetViews>
  <sheetFormatPr defaultRowHeight="15" x14ac:dyDescent="0.25"/>
  <cols>
    <col min="1" max="1" width="24.28515625" customWidth="1"/>
    <col min="2" max="2" width="10" customWidth="1"/>
    <col min="4" max="4" width="12" bestFit="1" customWidth="1"/>
    <col min="5" max="5" width="10.42578125" style="2" bestFit="1" customWidth="1"/>
    <col min="6" max="6" width="10.42578125" style="2" customWidth="1"/>
    <col min="7" max="7" width="17.85546875" style="2" bestFit="1" customWidth="1"/>
    <col min="8" max="8" width="64.140625" style="2" hidden="1" customWidth="1"/>
    <col min="9" max="9" width="12" style="2" customWidth="1"/>
    <col min="10" max="10" width="8.140625" customWidth="1"/>
  </cols>
  <sheetData>
    <row r="1" spans="1:16" ht="34.5" customHeight="1" x14ac:dyDescent="0.25">
      <c r="A1" s="1" t="s">
        <v>0</v>
      </c>
      <c r="P1" s="3"/>
    </row>
    <row r="2" spans="1:16" x14ac:dyDescent="0.25">
      <c r="A2" t="s">
        <v>1</v>
      </c>
      <c r="B2" t="s">
        <v>2</v>
      </c>
      <c r="C2" t="s">
        <v>3</v>
      </c>
      <c r="D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t="s">
        <v>10</v>
      </c>
    </row>
    <row r="3" spans="1:16" x14ac:dyDescent="0.25">
      <c r="A3" t="str">
        <f>_xlfn.XLOOKUP(Tabela3[[#This Row],[ORDEM]],[1]BASE_PROGRAMAÇÃO!A:A,[1]BASE_PROGRAMAÇÃO!C:C,"")</f>
        <v>CAMINHOES</v>
      </c>
      <c r="B3">
        <f>_xlfn.XLOOKUP(Tabela3[[#This Row],[ORDEM]],[1]BASE_PROGRAMAÇÃO!A:A,[1]BASE_PROGRAMAÇÃO!B:B,"")</f>
        <v>11060061</v>
      </c>
      <c r="C3">
        <v>200621</v>
      </c>
      <c r="D3" t="str">
        <f>_xlfn.XLOOKUP(Tabela3[[#This Row],[Coluna3]],'[1]BASE DE PLANOS'!A:A,'[1]BASE DE PLANOS'!B:B,"")</f>
        <v>Mecânica</v>
      </c>
      <c r="E3" s="2">
        <f>_xlfn.XLOOKUP(Tabela3[[#This Row],[ORDEM]],[1]BASE_PROGRAMAÇÃO!A:A,[1]BASE_PROGRAMAÇÃO!D:D,"")</f>
        <v>46114</v>
      </c>
      <c r="F3" s="2" t="str">
        <f>_xlfn.XLOOKUP(Tabela3[[#This Row],[ORDEM]],[1]BASE_PROGRAMAÇÃO!A:A,[1]BASE_PROGRAMAÇÃO!O:O,"")</f>
        <v>INTERNA</v>
      </c>
      <c r="G3" s="2" t="str">
        <f>_xlfn.XLOOKUP(Tabela3[[#This Row],[ORDEM]],[1]BASE_PROGRAMAÇÃO!A:A,[1]BASE_PROGRAMAÇÃO!L:L,"")</f>
        <v>COLHEITA</v>
      </c>
      <c r="H3" t="str">
        <f>_xlfn.XLOOKUP(Tabela3[[#This Row],[ORDEM]],[2]S_POST!$C:$C,[2]S_POST!$AG:$AG,"")</f>
        <v xml:space="preserve"> 210010000</v>
      </c>
      <c r="I3" t="str">
        <f>_xlfn.XLOOKUP(Tabela3[[#This Row],[ORDEM]],[1]BASE_PROGRAMAÇÃO!A:A,[1]BASE_PROGRAMAÇÃO!$E:$E,"")</f>
        <v>Mecânica</v>
      </c>
      <c r="J3" t="str">
        <f>_xlfn.XLOOKUP(Tabela3[[#This Row],[ORDEM]],[1]ENCERRADAS!A:A,[1]ENCERRADAS!B:B,"")</f>
        <v>P</v>
      </c>
    </row>
    <row r="4" spans="1:16" x14ac:dyDescent="0.25">
      <c r="A4" t="str">
        <f>_xlfn.XLOOKUP(Tabela3[[#This Row],[ORDEM]],[1]BASE_PROGRAMAÇÃO!A:A,[1]BASE_PROGRAMAÇÃO!C:C,"")</f>
        <v>CAMINHOES</v>
      </c>
      <c r="B4">
        <f>_xlfn.XLOOKUP(Tabela3[[#This Row],[ORDEM]],[1]BASE_PROGRAMAÇÃO!A:A,[1]BASE_PROGRAMAÇÃO!B:B,"")</f>
        <v>11060070</v>
      </c>
      <c r="C4">
        <v>195265</v>
      </c>
      <c r="D4" t="str">
        <f>_xlfn.XLOOKUP(Tabela3[[#This Row],[Coluna3]],'[1]BASE DE PLANOS'!A:A,'[1]BASE DE PLANOS'!B:B,"")</f>
        <v>Mecânica</v>
      </c>
      <c r="E4" s="2">
        <f>_xlfn.XLOOKUP(Tabela3[[#This Row],[ORDEM]],[1]BASE_PROGRAMAÇÃO!A:A,[1]BASE_PROGRAMAÇÃO!D:D,"")</f>
        <v>46112</v>
      </c>
      <c r="F4" s="2" t="str">
        <f>_xlfn.XLOOKUP(Tabela3[[#This Row],[ORDEM]],[1]BASE_PROGRAMAÇÃO!A:A,[1]BASE_PROGRAMAÇÃO!O:O,"")</f>
        <v>INTERNA</v>
      </c>
      <c r="G4" s="2" t="str">
        <f>_xlfn.XLOOKUP(Tabela3[[#This Row],[ORDEM]],[1]BASE_PROGRAMAÇÃO!A:A,[1]BASE_PROGRAMAÇÃO!L:L,"")</f>
        <v>COLHEITA</v>
      </c>
      <c r="H4" t="str">
        <f>_xlfn.XLOOKUP(Tabela3[[#This Row],[ORDEM]],[2]S_POST!$C:$C,[2]S_POST!$AG:$AG,"")</f>
        <v xml:space="preserve"> 210010000</v>
      </c>
      <c r="I4" t="str">
        <f>_xlfn.XLOOKUP(Tabela3[[#This Row],[ORDEM]],[1]BASE_PROGRAMAÇÃO!A:A,[1]BASE_PROGRAMAÇÃO!$E:$E,"")</f>
        <v>Mecânica</v>
      </c>
      <c r="J4" t="str">
        <f>_xlfn.XLOOKUP(Tabela3[[#This Row],[ORDEM]],[1]ENCERRADAS!A:A,[1]ENCERRADAS!B:B,"")</f>
        <v>P</v>
      </c>
    </row>
    <row r="5" spans="1:16" x14ac:dyDescent="0.25">
      <c r="A5" t="str">
        <f>_xlfn.XLOOKUP(Tabela3[[#This Row],[ORDEM]],[1]BASE_PROGRAMAÇÃO!A:A,[1]BASE_PROGRAMAÇÃO!C:C,"")</f>
        <v>COLHEDORAS</v>
      </c>
      <c r="B5">
        <f>_xlfn.XLOOKUP(Tabela3[[#This Row],[ORDEM]],[1]BASE_PROGRAMAÇÃO!A:A,[1]BASE_PROGRAMAÇÃO!B:B,"")</f>
        <v>13020163</v>
      </c>
      <c r="C5">
        <v>200618</v>
      </c>
      <c r="D5" t="str">
        <f>_xlfn.XLOOKUP(Tabela3[[#This Row],[Coluna3]],'[1]BASE DE PLANOS'!A:A,'[1]BASE DE PLANOS'!B:B,"")</f>
        <v>Mecânica</v>
      </c>
      <c r="E5" s="2">
        <f>_xlfn.XLOOKUP(Tabela3[[#This Row],[ORDEM]],[1]BASE_PROGRAMAÇÃO!A:A,[1]BASE_PROGRAMAÇÃO!D:D,"")</f>
        <v>46113</v>
      </c>
      <c r="F5" s="2" t="str">
        <f>_xlfn.XLOOKUP(Tabela3[[#This Row],[ORDEM]],[1]BASE_PROGRAMAÇÃO!A:A,[1]BASE_PROGRAMAÇÃO!O:O,"")</f>
        <v>CAMPO</v>
      </c>
      <c r="G5" s="2" t="str">
        <f>_xlfn.XLOOKUP(Tabela3[[#This Row],[ORDEM]],[1]BASE_PROGRAMAÇÃO!A:A,[1]BASE_PROGRAMAÇÃO!L:L,"")</f>
        <v>COLHEITA</v>
      </c>
      <c r="H5" t="str">
        <f>_xlfn.XLOOKUP(Tabela3[[#This Row],[ORDEM]],[2]S_POST!$C:$C,[2]S_POST!$AG:$AG,"")</f>
        <v xml:space="preserve"> 200000375</v>
      </c>
      <c r="I5" t="str">
        <f>_xlfn.XLOOKUP(Tabela3[[#This Row],[ORDEM]],[1]BASE_PROGRAMAÇÃO!A:A,[1]BASE_PROGRAMAÇÃO!$E:$E,"")</f>
        <v>Mecânica</v>
      </c>
      <c r="J5" t="str">
        <f>_xlfn.XLOOKUP(Tabela3[[#This Row],[ORDEM]],[1]ENCERRADAS!A:A,[1]ENCERRADAS!B:B,"")</f>
        <v>P</v>
      </c>
    </row>
    <row r="6" spans="1:16" x14ac:dyDescent="0.25">
      <c r="A6" t="str">
        <f>_xlfn.XLOOKUP(Tabela3[[#This Row],[ORDEM]],[1]BASE_PROGRAMAÇÃO!A:A,[1]BASE_PROGRAMAÇÃO!C:C,"")</f>
        <v>IMPLEMENTOS AGRICOLAS</v>
      </c>
      <c r="B6">
        <f>_xlfn.XLOOKUP(Tabela3[[#This Row],[ORDEM]],[1]BASE_PROGRAMAÇÃO!A:A,[1]BASE_PROGRAMAÇÃO!B:B,"")</f>
        <v>15220663</v>
      </c>
      <c r="C6">
        <v>200411</v>
      </c>
      <c r="D6" t="str">
        <f>_xlfn.XLOOKUP(Tabela3[[#This Row],[Coluna3]],'[1]BASE DE PLANOS'!A:A,'[1]BASE DE PLANOS'!B:B,"")</f>
        <v>Mecânica</v>
      </c>
      <c r="E6" s="2">
        <f>_xlfn.XLOOKUP(Tabela3[[#This Row],[ORDEM]],[1]BASE_PROGRAMAÇÃO!A:A,[1]BASE_PROGRAMAÇÃO!D:D,"")</f>
        <v>46116</v>
      </c>
      <c r="F6" s="2" t="str">
        <f>_xlfn.XLOOKUP(Tabela3[[#This Row],[ORDEM]],[1]BASE_PROGRAMAÇÃO!A:A,[1]BASE_PROGRAMAÇÃO!O:O,"")</f>
        <v>CAMPO</v>
      </c>
      <c r="G6" s="2" t="str">
        <f>_xlfn.XLOOKUP(Tabela3[[#This Row],[ORDEM]],[1]BASE_PROGRAMAÇÃO!A:A,[1]BASE_PROGRAMAÇÃO!L:L,"")</f>
        <v>COLHEITA</v>
      </c>
      <c r="H6" t="str">
        <f>_xlfn.XLOOKUP(Tabela3[[#This Row],[ORDEM]],[2]S_POST!$C:$C,[2]S_POST!$AG:$AG,"")</f>
        <v xml:space="preserve"> 310000030</v>
      </c>
      <c r="I6" t="str">
        <f>_xlfn.XLOOKUP(Tabela3[[#This Row],[ORDEM]],[1]BASE_PROGRAMAÇÃO!A:A,[1]BASE_PROGRAMAÇÃO!$E:$E,"")</f>
        <v>Mecânica</v>
      </c>
      <c r="J6" t="str">
        <f>_xlfn.XLOOKUP(Tabela3[[#This Row],[ORDEM]],[1]ENCERRADAS!A:A,[1]ENCERRADAS!B:B,"")</f>
        <v>P</v>
      </c>
    </row>
    <row r="7" spans="1:16" x14ac:dyDescent="0.25">
      <c r="A7" t="str">
        <f>_xlfn.XLOOKUP(Tabela3[[#This Row],[ORDEM]],[1]BASE_PROGRAMAÇÃO!A:A,[1]BASE_PROGRAMAÇÃO!C:C,"")</f>
        <v>IMPLEMENTOS AGRICOLAS</v>
      </c>
      <c r="B7">
        <f>_xlfn.XLOOKUP(Tabela3[[#This Row],[ORDEM]],[1]BASE_PROGRAMAÇÃO!A:A,[1]BASE_PROGRAMAÇÃO!B:B,"")</f>
        <v>15220039</v>
      </c>
      <c r="C7">
        <v>200410</v>
      </c>
      <c r="D7" t="str">
        <f>_xlfn.XLOOKUP(Tabela3[[#This Row],[Coluna3]],'[1]BASE DE PLANOS'!A:A,'[1]BASE DE PLANOS'!B:B,"")</f>
        <v>Mecânica</v>
      </c>
      <c r="E7" s="2">
        <f>_xlfn.XLOOKUP(Tabela3[[#This Row],[ORDEM]],[1]BASE_PROGRAMAÇÃO!A:A,[1]BASE_PROGRAMAÇÃO!D:D,"")</f>
        <v>46116</v>
      </c>
      <c r="F7" s="2" t="str">
        <f>_xlfn.XLOOKUP(Tabela3[[#This Row],[ORDEM]],[1]BASE_PROGRAMAÇÃO!A:A,[1]BASE_PROGRAMAÇÃO!O:O,"")</f>
        <v>CAMPO</v>
      </c>
      <c r="G7" s="2" t="str">
        <f>_xlfn.XLOOKUP(Tabela3[[#This Row],[ORDEM]],[1]BASE_PROGRAMAÇÃO!A:A,[1]BASE_PROGRAMAÇÃO!L:L,"")</f>
        <v>COLHEITA</v>
      </c>
      <c r="H7" t="str">
        <f>_xlfn.XLOOKUP(Tabela3[[#This Row],[ORDEM]],[2]S_POST!$C:$C,[2]S_POST!$AG:$AG,"")</f>
        <v xml:space="preserve"> 310000030</v>
      </c>
      <c r="I7" t="str">
        <f>_xlfn.XLOOKUP(Tabela3[[#This Row],[ORDEM]],[1]BASE_PROGRAMAÇÃO!A:A,[1]BASE_PROGRAMAÇÃO!$E:$E,"")</f>
        <v>Mecânica</v>
      </c>
      <c r="J7" t="str">
        <f>_xlfn.XLOOKUP(Tabela3[[#This Row],[ORDEM]],[1]ENCERRADAS!A:A,[1]ENCERRADAS!B:B,"")</f>
        <v>E</v>
      </c>
    </row>
    <row r="8" spans="1:16" x14ac:dyDescent="0.25">
      <c r="A8" t="str">
        <f>_xlfn.XLOOKUP(Tabela3[[#This Row],[ORDEM]],[1]BASE_PROGRAMAÇÃO!A:A,[1]BASE_PROGRAMAÇÃO!C:C,"")</f>
        <v>IMPLEMENTOS AGRICOLAS</v>
      </c>
      <c r="B8">
        <f>_xlfn.XLOOKUP(Tabela3[[#This Row],[ORDEM]],[1]BASE_PROGRAMAÇÃO!A:A,[1]BASE_PROGRAMAÇÃO!B:B,"")</f>
        <v>15220007</v>
      </c>
      <c r="C8">
        <v>200409</v>
      </c>
      <c r="D8" t="str">
        <f>_xlfn.XLOOKUP(Tabela3[[#This Row],[Coluna3]],'[1]BASE DE PLANOS'!A:A,'[1]BASE DE PLANOS'!B:B,"")</f>
        <v>Mecânica</v>
      </c>
      <c r="E8" s="2">
        <f>_xlfn.XLOOKUP(Tabela3[[#This Row],[ORDEM]],[1]BASE_PROGRAMAÇÃO!A:A,[1]BASE_PROGRAMAÇÃO!D:D,"")</f>
        <v>46114</v>
      </c>
      <c r="F8" s="2" t="str">
        <f>_xlfn.XLOOKUP(Tabela3[[#This Row],[ORDEM]],[1]BASE_PROGRAMAÇÃO!A:A,[1]BASE_PROGRAMAÇÃO!O:O,"")</f>
        <v>CAMPO</v>
      </c>
      <c r="G8" s="2" t="str">
        <f>_xlfn.XLOOKUP(Tabela3[[#This Row],[ORDEM]],[1]BASE_PROGRAMAÇÃO!A:A,[1]BASE_PROGRAMAÇÃO!L:L,"")</f>
        <v>COLHEITA</v>
      </c>
      <c r="H8" t="str">
        <f>_xlfn.XLOOKUP(Tabela3[[#This Row],[ORDEM]],[2]S_POST!$C:$C,[2]S_POST!$AG:$AG,"")</f>
        <v xml:space="preserve"> 310000030</v>
      </c>
      <c r="I8" t="str">
        <f>_xlfn.XLOOKUP(Tabela3[[#This Row],[ORDEM]],[1]BASE_PROGRAMAÇÃO!A:A,[1]BASE_PROGRAMAÇÃO!$E:$E,"")</f>
        <v>Mecânica</v>
      </c>
      <c r="J8" t="str">
        <f>_xlfn.XLOOKUP(Tabela3[[#This Row],[ORDEM]],[1]ENCERRADAS!A:A,[1]ENCERRADAS!B:B,"")</f>
        <v>P</v>
      </c>
    </row>
    <row r="9" spans="1:16" x14ac:dyDescent="0.25">
      <c r="A9" t="str">
        <f>_xlfn.XLOOKUP(Tabela3[[#This Row],[ORDEM]],[1]BASE_PROGRAMAÇÃO!A:A,[1]BASE_PROGRAMAÇÃO!C:C,"")</f>
        <v>IMPLEMENTOS RODOVIARIOS</v>
      </c>
      <c r="B9">
        <f>_xlfn.XLOOKUP(Tabela3[[#This Row],[ORDEM]],[1]BASE_PROGRAMAÇÃO!A:A,[1]BASE_PROGRAMAÇÃO!B:B,"")</f>
        <v>16100023</v>
      </c>
      <c r="C9">
        <v>200404</v>
      </c>
      <c r="D9" t="str">
        <f>_xlfn.XLOOKUP(Tabela3[[#This Row],[Coluna3]],'[1]BASE DE PLANOS'!A:A,'[1]BASE DE PLANOS'!B:B,"")</f>
        <v>Primária</v>
      </c>
      <c r="E9" s="2">
        <f>_xlfn.XLOOKUP(Tabela3[[#This Row],[ORDEM]],[1]BASE_PROGRAMAÇÃO!A:A,[1]BASE_PROGRAMAÇÃO!D:D,"")</f>
        <v>46112</v>
      </c>
      <c r="F9" s="2" t="str">
        <f>_xlfn.XLOOKUP(Tabela3[[#This Row],[ORDEM]],[1]BASE_PROGRAMAÇÃO!A:A,[1]BASE_PROGRAMAÇÃO!O:O,"")</f>
        <v>INTERNA</v>
      </c>
      <c r="G9" s="2" t="str">
        <f>_xlfn.XLOOKUP(Tabela3[[#This Row],[ORDEM]],[1]BASE_PROGRAMAÇÃO!A:A,[1]BASE_PROGRAMAÇÃO!L:L,"")</f>
        <v>TRATOS CULTURAIS</v>
      </c>
      <c r="H9" t="str">
        <f>_xlfn.XLOOKUP(Tabela3[[#This Row],[ORDEM]],[2]S_POST!$C:$C,[2]S_POST!$AG:$AG,"")</f>
        <v xml:space="preserve"> 310000014</v>
      </c>
      <c r="I9" t="str">
        <f>_xlfn.XLOOKUP(Tabela3[[#This Row],[ORDEM]],[1]BASE_PROGRAMAÇÃO!A:A,[1]BASE_PROGRAMAÇÃO!$E:$E,"")</f>
        <v>Primária</v>
      </c>
      <c r="J9" t="str">
        <f>_xlfn.XLOOKUP(Tabela3[[#This Row],[ORDEM]],[1]ENCERRADAS!A:A,[1]ENCERRADAS!B:B,"")</f>
        <v>P</v>
      </c>
    </row>
    <row r="10" spans="1:16" x14ac:dyDescent="0.25">
      <c r="A10" t="str">
        <f>_xlfn.XLOOKUP(Tabela3[[#This Row],[ORDEM]],[1]BASE_PROGRAMAÇÃO!A:A,[1]BASE_PROGRAMAÇÃO!C:C,"")</f>
        <v>IMPLEMENTOS RODOVIARIOS</v>
      </c>
      <c r="B10">
        <f>_xlfn.XLOOKUP(Tabela3[[#This Row],[ORDEM]],[1]BASE_PROGRAMAÇÃO!A:A,[1]BASE_PROGRAMAÇÃO!B:B,"")</f>
        <v>16040023</v>
      </c>
      <c r="C10">
        <v>200403</v>
      </c>
      <c r="D10" t="str">
        <f>_xlfn.XLOOKUP(Tabela3[[#This Row],[Coluna3]],'[1]BASE DE PLANOS'!A:A,'[1]BASE DE PLANOS'!B:B,"")</f>
        <v>Primária</v>
      </c>
      <c r="E10" s="2">
        <f>_xlfn.XLOOKUP(Tabela3[[#This Row],[ORDEM]],[1]BASE_PROGRAMAÇÃO!A:A,[1]BASE_PROGRAMAÇÃO!D:D,"")</f>
        <v>46113</v>
      </c>
      <c r="F10" s="2" t="str">
        <f>_xlfn.XLOOKUP(Tabela3[[#This Row],[ORDEM]],[1]BASE_PROGRAMAÇÃO!A:A,[1]BASE_PROGRAMAÇÃO!O:O,"")</f>
        <v>INTERNA</v>
      </c>
      <c r="G10" s="2" t="str">
        <f>_xlfn.XLOOKUP(Tabela3[[#This Row],[ORDEM]],[1]BASE_PROGRAMAÇÃO!A:A,[1]BASE_PROGRAMAÇÃO!L:L,"")</f>
        <v>TRATOS CULTURAIS</v>
      </c>
      <c r="H10" t="str">
        <f>_xlfn.XLOOKUP(Tabela3[[#This Row],[ORDEM]],[2]S_POST!$C:$C,[2]S_POST!$AG:$AG,"")</f>
        <v xml:space="preserve"> 310000014</v>
      </c>
      <c r="I10" t="str">
        <f>_xlfn.XLOOKUP(Tabela3[[#This Row],[ORDEM]],[1]BASE_PROGRAMAÇÃO!A:A,[1]BASE_PROGRAMAÇÃO!$E:$E,"")</f>
        <v>Primária</v>
      </c>
      <c r="J10" t="str">
        <f>_xlfn.XLOOKUP(Tabela3[[#This Row],[ORDEM]],[1]ENCERRADAS!A:A,[1]ENCERRADAS!B:B,"")</f>
        <v>P</v>
      </c>
    </row>
    <row r="11" spans="1:16" x14ac:dyDescent="0.25">
      <c r="A11" t="str">
        <f>_xlfn.XLOOKUP(Tabela3[[#This Row],[ORDEM]],[1]BASE_PROGRAMAÇÃO!A:A,[1]BASE_PROGRAMAÇÃO!C:C,"")</f>
        <v>IMPLEMENTOS RODOVIARIOS</v>
      </c>
      <c r="B11">
        <f>_xlfn.XLOOKUP(Tabela3[[#This Row],[ORDEM]],[1]BASE_PROGRAMAÇÃO!A:A,[1]BASE_PROGRAMAÇÃO!B:B,"")</f>
        <v>16100027</v>
      </c>
      <c r="C11">
        <v>200402</v>
      </c>
      <c r="D11" t="str">
        <f>_xlfn.XLOOKUP(Tabela3[[#This Row],[Coluna3]],'[1]BASE DE PLANOS'!A:A,'[1]BASE DE PLANOS'!B:B,"")</f>
        <v>Primária</v>
      </c>
      <c r="E11" s="2">
        <f>_xlfn.XLOOKUP(Tabela3[[#This Row],[ORDEM]],[1]BASE_PROGRAMAÇÃO!A:A,[1]BASE_PROGRAMAÇÃO!D:D,"")</f>
        <v>46112</v>
      </c>
      <c r="F11" s="2" t="str">
        <f>_xlfn.XLOOKUP(Tabela3[[#This Row],[ORDEM]],[1]BASE_PROGRAMAÇÃO!A:A,[1]BASE_PROGRAMAÇÃO!O:O,"")</f>
        <v>INTERNA</v>
      </c>
      <c r="G11" s="2" t="str">
        <f>_xlfn.XLOOKUP(Tabela3[[#This Row],[ORDEM]],[1]BASE_PROGRAMAÇÃO!A:A,[1]BASE_PROGRAMAÇÃO!L:L,"")</f>
        <v>TRATOS CULTURAIS</v>
      </c>
      <c r="H11" t="str">
        <f>_xlfn.XLOOKUP(Tabela3[[#This Row],[ORDEM]],[2]S_POST!$C:$C,[2]S_POST!$AG:$AG,"")</f>
        <v xml:space="preserve"> 310000014</v>
      </c>
      <c r="I11" t="str">
        <f>_xlfn.XLOOKUP(Tabela3[[#This Row],[ORDEM]],[1]BASE_PROGRAMAÇÃO!A:A,[1]BASE_PROGRAMAÇÃO!$E:$E,"")</f>
        <v>Primária</v>
      </c>
      <c r="J11" t="str">
        <f>_xlfn.XLOOKUP(Tabela3[[#This Row],[ORDEM]],[1]ENCERRADAS!A:A,[1]ENCERRADAS!B:B,"")</f>
        <v>P</v>
      </c>
    </row>
    <row r="12" spans="1:16" x14ac:dyDescent="0.25">
      <c r="A12" t="str">
        <f>_xlfn.XLOOKUP(Tabela3[[#This Row],[ORDEM]],[1]BASE_PROGRAMAÇÃO!A:A,[1]BASE_PROGRAMAÇÃO!C:C,"")</f>
        <v>IMPLEMENTOS RODOVIARIOS</v>
      </c>
      <c r="B12">
        <f>_xlfn.XLOOKUP(Tabela3[[#This Row],[ORDEM]],[1]BASE_PROGRAMAÇÃO!A:A,[1]BASE_PROGRAMAÇÃO!B:B,"")</f>
        <v>16100026</v>
      </c>
      <c r="C12">
        <v>200401</v>
      </c>
      <c r="D12" t="str">
        <f>_xlfn.XLOOKUP(Tabela3[[#This Row],[Coluna3]],'[1]BASE DE PLANOS'!A:A,'[1]BASE DE PLANOS'!B:B,"")</f>
        <v>Primária</v>
      </c>
      <c r="E12" s="2">
        <f>_xlfn.XLOOKUP(Tabela3[[#This Row],[ORDEM]],[1]BASE_PROGRAMAÇÃO!A:A,[1]BASE_PROGRAMAÇÃO!D:D,"")</f>
        <v>46114</v>
      </c>
      <c r="F12" s="2" t="str">
        <f>_xlfn.XLOOKUP(Tabela3[[#This Row],[ORDEM]],[1]BASE_PROGRAMAÇÃO!A:A,[1]BASE_PROGRAMAÇÃO!O:O,"")</f>
        <v>INTERNA</v>
      </c>
      <c r="G12" s="2" t="str">
        <f>_xlfn.XLOOKUP(Tabela3[[#This Row],[ORDEM]],[1]BASE_PROGRAMAÇÃO!A:A,[1]BASE_PROGRAMAÇÃO!L:L,"")</f>
        <v>TRATOS CULTURAIS</v>
      </c>
      <c r="H12" t="str">
        <f>_xlfn.XLOOKUP(Tabela3[[#This Row],[ORDEM]],[2]S_POST!$C:$C,[2]S_POST!$AG:$AG,"")</f>
        <v xml:space="preserve"> 310000014</v>
      </c>
      <c r="I12" t="str">
        <f>_xlfn.XLOOKUP(Tabela3[[#This Row],[ORDEM]],[1]BASE_PROGRAMAÇÃO!A:A,[1]BASE_PROGRAMAÇÃO!$E:$E,"")</f>
        <v>Primária</v>
      </c>
      <c r="J12" t="str">
        <f>_xlfn.XLOOKUP(Tabela3[[#This Row],[ORDEM]],[1]ENCERRADAS!A:A,[1]ENCERRADAS!B:B,"")</f>
        <v>P</v>
      </c>
    </row>
    <row r="13" spans="1:16" x14ac:dyDescent="0.25">
      <c r="A13" t="str">
        <f>_xlfn.XLOOKUP(Tabela3[[#This Row],[ORDEM]],[1]BASE_PROGRAMAÇÃO!A:A,[1]BASE_PROGRAMAÇÃO!C:C,"")</f>
        <v>IMPLEMENTOS RODOVIARIOS</v>
      </c>
      <c r="B13">
        <f>_xlfn.XLOOKUP(Tabela3[[#This Row],[ORDEM]],[1]BASE_PROGRAMAÇÃO!A:A,[1]BASE_PROGRAMAÇÃO!B:B,"")</f>
        <v>16040029</v>
      </c>
      <c r="C13">
        <v>200400</v>
      </c>
      <c r="D13" t="str">
        <f>_xlfn.XLOOKUP(Tabela3[[#This Row],[Coluna3]],'[1]BASE DE PLANOS'!A:A,'[1]BASE DE PLANOS'!B:B,"")</f>
        <v>Primária</v>
      </c>
      <c r="E13" s="2">
        <f>_xlfn.XLOOKUP(Tabela3[[#This Row],[ORDEM]],[1]BASE_PROGRAMAÇÃO!A:A,[1]BASE_PROGRAMAÇÃO!D:D,"")</f>
        <v>46113</v>
      </c>
      <c r="F13" s="2" t="str">
        <f>_xlfn.XLOOKUP(Tabela3[[#This Row],[ORDEM]],[1]BASE_PROGRAMAÇÃO!A:A,[1]BASE_PROGRAMAÇÃO!O:O,"")</f>
        <v>INTERNA</v>
      </c>
      <c r="G13" s="2" t="str">
        <f>_xlfn.XLOOKUP(Tabela3[[#This Row],[ORDEM]],[1]BASE_PROGRAMAÇÃO!A:A,[1]BASE_PROGRAMAÇÃO!L:L,"")</f>
        <v>TRATOS CULTURAIS</v>
      </c>
      <c r="H13" t="str">
        <f>_xlfn.XLOOKUP(Tabela3[[#This Row],[ORDEM]],[2]S_POST!$C:$C,[2]S_POST!$AG:$AG,"")</f>
        <v xml:space="preserve"> 310000014</v>
      </c>
      <c r="I13" t="str">
        <f>_xlfn.XLOOKUP(Tabela3[[#This Row],[ORDEM]],[1]BASE_PROGRAMAÇÃO!A:A,[1]BASE_PROGRAMAÇÃO!$E:$E,"")</f>
        <v>Primária</v>
      </c>
      <c r="J13" t="str">
        <f>_xlfn.XLOOKUP(Tabela3[[#This Row],[ORDEM]],[1]ENCERRADAS!A:A,[1]ENCERRADAS!B:B,"")</f>
        <v>P</v>
      </c>
    </row>
    <row r="14" spans="1:16" x14ac:dyDescent="0.25">
      <c r="A14" t="str">
        <f>_xlfn.XLOOKUP(Tabela3[[#This Row],[ORDEM]],[1]BASE_PROGRAMAÇÃO!A:A,[1]BASE_PROGRAMAÇÃO!C:C,"")</f>
        <v>IMPLEMENTOS RODOVIARIOS</v>
      </c>
      <c r="B14">
        <f>_xlfn.XLOOKUP(Tabela3[[#This Row],[ORDEM]],[1]BASE_PROGRAMAÇÃO!A:A,[1]BASE_PROGRAMAÇÃO!B:B,"")</f>
        <v>16040028</v>
      </c>
      <c r="C14">
        <v>200399</v>
      </c>
      <c r="D14" t="str">
        <f>_xlfn.XLOOKUP(Tabela3[[#This Row],[Coluna3]],'[1]BASE DE PLANOS'!A:A,'[1]BASE DE PLANOS'!B:B,"")</f>
        <v>Primária</v>
      </c>
      <c r="E14" s="2">
        <f>_xlfn.XLOOKUP(Tabela3[[#This Row],[ORDEM]],[1]BASE_PROGRAMAÇÃO!A:A,[1]BASE_PROGRAMAÇÃO!D:D,"")</f>
        <v>46112</v>
      </c>
      <c r="F14" s="2" t="str">
        <f>_xlfn.XLOOKUP(Tabela3[[#This Row],[ORDEM]],[1]BASE_PROGRAMAÇÃO!A:A,[1]BASE_PROGRAMAÇÃO!O:O,"")</f>
        <v>INTERNA</v>
      </c>
      <c r="G14" s="2" t="str">
        <f>_xlfn.XLOOKUP(Tabela3[[#This Row],[ORDEM]],[1]BASE_PROGRAMAÇÃO!A:A,[1]BASE_PROGRAMAÇÃO!L:L,"")</f>
        <v>TRATOS CULTURAIS</v>
      </c>
      <c r="H14" t="str">
        <f>_xlfn.XLOOKUP(Tabela3[[#This Row],[ORDEM]],[2]S_POST!$C:$C,[2]S_POST!$AG:$AG,"")</f>
        <v xml:space="preserve"> 310000014</v>
      </c>
      <c r="I14" t="str">
        <f>_xlfn.XLOOKUP(Tabela3[[#This Row],[ORDEM]],[1]BASE_PROGRAMAÇÃO!A:A,[1]BASE_PROGRAMAÇÃO!$E:$E,"")</f>
        <v>Primária</v>
      </c>
      <c r="J14" t="str">
        <f>_xlfn.XLOOKUP(Tabela3[[#This Row],[ORDEM]],[1]ENCERRADAS!A:A,[1]ENCERRADAS!B:B,"")</f>
        <v>P</v>
      </c>
    </row>
    <row r="15" spans="1:16" x14ac:dyDescent="0.25">
      <c r="A15" t="str">
        <f>_xlfn.XLOOKUP(Tabela3[[#This Row],[ORDEM]],[1]BASE_PROGRAMAÇÃO!A:A,[1]BASE_PROGRAMAÇÃO!C:C,"")</f>
        <v>IMPLEMENTOS RODOVIARIOS</v>
      </c>
      <c r="B15">
        <f>_xlfn.XLOOKUP(Tabela3[[#This Row],[ORDEM]],[1]BASE_PROGRAMAÇÃO!A:A,[1]BASE_PROGRAMAÇÃO!B:B,"")</f>
        <v>16100004</v>
      </c>
      <c r="C15">
        <v>200398</v>
      </c>
      <c r="D15" t="str">
        <f>_xlfn.XLOOKUP(Tabela3[[#This Row],[Coluna3]],'[1]BASE DE PLANOS'!A:A,'[1]BASE DE PLANOS'!B:B,"")</f>
        <v>Primária</v>
      </c>
      <c r="E15" s="2">
        <f>_xlfn.XLOOKUP(Tabela3[[#This Row],[ORDEM]],[1]BASE_PROGRAMAÇÃO!A:A,[1]BASE_PROGRAMAÇÃO!D:D,"")</f>
        <v>46115</v>
      </c>
      <c r="F15" s="2" t="str">
        <f>_xlfn.XLOOKUP(Tabela3[[#This Row],[ORDEM]],[1]BASE_PROGRAMAÇÃO!A:A,[1]BASE_PROGRAMAÇÃO!O:O,"")</f>
        <v>INTERNA</v>
      </c>
      <c r="G15" s="2" t="str">
        <f>_xlfn.XLOOKUP(Tabela3[[#This Row],[ORDEM]],[1]BASE_PROGRAMAÇÃO!A:A,[1]BASE_PROGRAMAÇÃO!L:L,"")</f>
        <v>TRATOS CULTURAIS</v>
      </c>
      <c r="H15" t="str">
        <f>_xlfn.XLOOKUP(Tabela3[[#This Row],[ORDEM]],[2]S_POST!$C:$C,[2]S_POST!$AG:$AG,"")</f>
        <v xml:space="preserve"> 310000014</v>
      </c>
      <c r="I15" t="str">
        <f>_xlfn.XLOOKUP(Tabela3[[#This Row],[ORDEM]],[1]BASE_PROGRAMAÇÃO!A:A,[1]BASE_PROGRAMAÇÃO!$E:$E,"")</f>
        <v>Primária</v>
      </c>
      <c r="J15" t="str">
        <f>_xlfn.XLOOKUP(Tabela3[[#This Row],[ORDEM]],[1]ENCERRADAS!A:A,[1]ENCERRADAS!B:B,"")</f>
        <v>P</v>
      </c>
    </row>
    <row r="16" spans="1:16" x14ac:dyDescent="0.25">
      <c r="A16" t="str">
        <f>_xlfn.XLOOKUP(Tabela3[[#This Row],[ORDEM]],[1]BASE_PROGRAMAÇÃO!A:A,[1]BASE_PROGRAMAÇÃO!C:C,"")</f>
        <v>IMPLEMENTOS RODOVIARIOS</v>
      </c>
      <c r="B16">
        <f>_xlfn.XLOOKUP(Tabela3[[#This Row],[ORDEM]],[1]BASE_PROGRAMAÇÃO!A:A,[1]BASE_PROGRAMAÇÃO!B:B,"")</f>
        <v>16100003</v>
      </c>
      <c r="C16">
        <v>200397</v>
      </c>
      <c r="D16" t="str">
        <f>_xlfn.XLOOKUP(Tabela3[[#This Row],[Coluna3]],'[1]BASE DE PLANOS'!A:A,'[1]BASE DE PLANOS'!B:B,"")</f>
        <v>Primária</v>
      </c>
      <c r="E16" s="2">
        <f>_xlfn.XLOOKUP(Tabela3[[#This Row],[ORDEM]],[1]BASE_PROGRAMAÇÃO!A:A,[1]BASE_PROGRAMAÇÃO!D:D,"")</f>
        <v>46114</v>
      </c>
      <c r="F16" s="2" t="str">
        <f>_xlfn.XLOOKUP(Tabela3[[#This Row],[ORDEM]],[1]BASE_PROGRAMAÇÃO!A:A,[1]BASE_PROGRAMAÇÃO!O:O,"")</f>
        <v>INTERNA</v>
      </c>
      <c r="G16" s="2" t="str">
        <f>_xlfn.XLOOKUP(Tabela3[[#This Row],[ORDEM]],[1]BASE_PROGRAMAÇÃO!A:A,[1]BASE_PROGRAMAÇÃO!L:L,"")</f>
        <v>TRATOS CULTURAIS</v>
      </c>
      <c r="H16" t="str">
        <f>_xlfn.XLOOKUP(Tabela3[[#This Row],[ORDEM]],[2]S_POST!$C:$C,[2]S_POST!$AG:$AG,"")</f>
        <v xml:space="preserve"> 310000014</v>
      </c>
      <c r="I16" t="str">
        <f>_xlfn.XLOOKUP(Tabela3[[#This Row],[ORDEM]],[1]BASE_PROGRAMAÇÃO!A:A,[1]BASE_PROGRAMAÇÃO!$E:$E,"")</f>
        <v>Primária</v>
      </c>
      <c r="J16" t="str">
        <f>_xlfn.XLOOKUP(Tabela3[[#This Row],[ORDEM]],[1]ENCERRADAS!A:A,[1]ENCERRADAS!B:B,"")</f>
        <v>P</v>
      </c>
    </row>
    <row r="17" spans="1:10" x14ac:dyDescent="0.25">
      <c r="A17" t="str">
        <f>_xlfn.XLOOKUP(Tabela3[[#This Row],[ORDEM]],[1]BASE_PROGRAMAÇÃO!A:A,[1]BASE_PROGRAMAÇÃO!C:C,"")</f>
        <v>IMPLEMENTOS RODOVIARIOS</v>
      </c>
      <c r="B17">
        <f>_xlfn.XLOOKUP(Tabela3[[#This Row],[ORDEM]],[1]BASE_PROGRAMAÇÃO!A:A,[1]BASE_PROGRAMAÇÃO!B:B,"")</f>
        <v>16100002</v>
      </c>
      <c r="C17">
        <v>200396</v>
      </c>
      <c r="D17" t="str">
        <f>_xlfn.XLOOKUP(Tabela3[[#This Row],[Coluna3]],'[1]BASE DE PLANOS'!A:A,'[1]BASE DE PLANOS'!B:B,"")</f>
        <v>Primária</v>
      </c>
      <c r="E17" s="2">
        <f>_xlfn.XLOOKUP(Tabela3[[#This Row],[ORDEM]],[1]BASE_PROGRAMAÇÃO!A:A,[1]BASE_PROGRAMAÇÃO!D:D,"")</f>
        <v>46111</v>
      </c>
      <c r="F17" s="2" t="str">
        <f>_xlfn.XLOOKUP(Tabela3[[#This Row],[ORDEM]],[1]BASE_PROGRAMAÇÃO!A:A,[1]BASE_PROGRAMAÇÃO!O:O,"")</f>
        <v>INTERNA</v>
      </c>
      <c r="G17" s="2" t="str">
        <f>_xlfn.XLOOKUP(Tabela3[[#This Row],[ORDEM]],[1]BASE_PROGRAMAÇÃO!A:A,[1]BASE_PROGRAMAÇÃO!L:L,"")</f>
        <v>TRATOS CULTURAIS</v>
      </c>
      <c r="H17" t="str">
        <f>_xlfn.XLOOKUP(Tabela3[[#This Row],[ORDEM]],[2]S_POST!$C:$C,[2]S_POST!$AG:$AG,"")</f>
        <v xml:space="preserve"> 310000014</v>
      </c>
      <c r="I17" t="str">
        <f>_xlfn.XLOOKUP(Tabela3[[#This Row],[ORDEM]],[1]BASE_PROGRAMAÇÃO!A:A,[1]BASE_PROGRAMAÇÃO!$E:$E,"")</f>
        <v>Primária</v>
      </c>
      <c r="J17" t="str">
        <f>_xlfn.XLOOKUP(Tabela3[[#This Row],[ORDEM]],[1]ENCERRADAS!A:A,[1]ENCERRADAS!B:B,"")</f>
        <v>P</v>
      </c>
    </row>
    <row r="18" spans="1:10" x14ac:dyDescent="0.25">
      <c r="A18" t="str">
        <f>_xlfn.XLOOKUP(Tabela3[[#This Row],[ORDEM]],[1]BASE_PROGRAMAÇÃO!A:A,[1]BASE_PROGRAMAÇÃO!C:C,"")</f>
        <v>IMPLEMENTOS RODOVIARIOS</v>
      </c>
      <c r="B18">
        <f>_xlfn.XLOOKUP(Tabela3[[#This Row],[ORDEM]],[1]BASE_PROGRAMAÇÃO!A:A,[1]BASE_PROGRAMAÇÃO!B:B,"")</f>
        <v>16040008</v>
      </c>
      <c r="C18">
        <v>200395</v>
      </c>
      <c r="D18" t="str">
        <f>_xlfn.XLOOKUP(Tabela3[[#This Row],[Coluna3]],'[1]BASE DE PLANOS'!A:A,'[1]BASE DE PLANOS'!B:B,"")</f>
        <v>Primária</v>
      </c>
      <c r="E18" s="2">
        <f>_xlfn.XLOOKUP(Tabela3[[#This Row],[ORDEM]],[1]BASE_PROGRAMAÇÃO!A:A,[1]BASE_PROGRAMAÇÃO!D:D,"")</f>
        <v>46112</v>
      </c>
      <c r="F18" s="2" t="str">
        <f>_xlfn.XLOOKUP(Tabela3[[#This Row],[ORDEM]],[1]BASE_PROGRAMAÇÃO!A:A,[1]BASE_PROGRAMAÇÃO!O:O,"")</f>
        <v>INTERNA</v>
      </c>
      <c r="G18" s="2" t="str">
        <f>_xlfn.XLOOKUP(Tabela3[[#This Row],[ORDEM]],[1]BASE_PROGRAMAÇÃO!A:A,[1]BASE_PROGRAMAÇÃO!L:L,"")</f>
        <v>TRATOS CULTURAIS</v>
      </c>
      <c r="H18" t="str">
        <f>_xlfn.XLOOKUP(Tabela3[[#This Row],[ORDEM]],[2]S_POST!$C:$C,[2]S_POST!$AG:$AG,"")</f>
        <v xml:space="preserve"> 310000014</v>
      </c>
      <c r="I18" t="str">
        <f>_xlfn.XLOOKUP(Tabela3[[#This Row],[ORDEM]],[1]BASE_PROGRAMAÇÃO!A:A,[1]BASE_PROGRAMAÇÃO!$E:$E,"")</f>
        <v>Primária</v>
      </c>
      <c r="J18" t="str">
        <f>_xlfn.XLOOKUP(Tabela3[[#This Row],[ORDEM]],[1]ENCERRADAS!A:A,[1]ENCERRADAS!B:B,"")</f>
        <v>P</v>
      </c>
    </row>
    <row r="19" spans="1:10" x14ac:dyDescent="0.25">
      <c r="A19" t="str">
        <f>_xlfn.XLOOKUP(Tabela3[[#This Row],[ORDEM]],[1]BASE_PROGRAMAÇÃO!A:A,[1]BASE_PROGRAMAÇÃO!C:C,"")</f>
        <v>IMPLEMENTOS RODOVIARIOS</v>
      </c>
      <c r="B19">
        <f>_xlfn.XLOOKUP(Tabela3[[#This Row],[ORDEM]],[1]BASE_PROGRAMAÇÃO!A:A,[1]BASE_PROGRAMAÇÃO!B:B,"")</f>
        <v>16040007</v>
      </c>
      <c r="C19">
        <v>200394</v>
      </c>
      <c r="D19" t="str">
        <f>_xlfn.XLOOKUP(Tabela3[[#This Row],[Coluna3]],'[1]BASE DE PLANOS'!A:A,'[1]BASE DE PLANOS'!B:B,"")</f>
        <v>Primária</v>
      </c>
      <c r="E19" s="2">
        <f>_xlfn.XLOOKUP(Tabela3[[#This Row],[ORDEM]],[1]BASE_PROGRAMAÇÃO!A:A,[1]BASE_PROGRAMAÇÃO!D:D,"")</f>
        <v>46111</v>
      </c>
      <c r="F19" s="2" t="str">
        <f>_xlfn.XLOOKUP(Tabela3[[#This Row],[ORDEM]],[1]BASE_PROGRAMAÇÃO!A:A,[1]BASE_PROGRAMAÇÃO!O:O,"")</f>
        <v>INTERNA</v>
      </c>
      <c r="G19" s="2" t="str">
        <f>_xlfn.XLOOKUP(Tabela3[[#This Row],[ORDEM]],[1]BASE_PROGRAMAÇÃO!A:A,[1]BASE_PROGRAMAÇÃO!L:L,"")</f>
        <v>TRATOS CULTURAIS</v>
      </c>
      <c r="H19" t="str">
        <f>_xlfn.XLOOKUP(Tabela3[[#This Row],[ORDEM]],[2]S_POST!$C:$C,[2]S_POST!$AG:$AG,"")</f>
        <v xml:space="preserve"> 310000014</v>
      </c>
      <c r="I19" t="str">
        <f>_xlfn.XLOOKUP(Tabela3[[#This Row],[ORDEM]],[1]BASE_PROGRAMAÇÃO!A:A,[1]BASE_PROGRAMAÇÃO!$E:$E,"")</f>
        <v>Primária</v>
      </c>
      <c r="J19" t="str">
        <f>_xlfn.XLOOKUP(Tabela3[[#This Row],[ORDEM]],[1]ENCERRADAS!A:A,[1]ENCERRADAS!B:B,"")</f>
        <v>P</v>
      </c>
    </row>
    <row r="20" spans="1:10" x14ac:dyDescent="0.25">
      <c r="A20" t="str">
        <f>_xlfn.XLOOKUP(Tabela3[[#This Row],[ORDEM]],[1]BASE_PROGRAMAÇÃO!A:A,[1]BASE_PROGRAMAÇÃO!C:C,"")</f>
        <v>IMPLEMENTOS RODOVIARIOS</v>
      </c>
      <c r="B20">
        <f>_xlfn.XLOOKUP(Tabela3[[#This Row],[ORDEM]],[1]BASE_PROGRAMAÇÃO!A:A,[1]BASE_PROGRAMAÇÃO!B:B,"")</f>
        <v>16040006</v>
      </c>
      <c r="C20">
        <v>200393</v>
      </c>
      <c r="D20" t="str">
        <f>_xlfn.XLOOKUP(Tabela3[[#This Row],[Coluna3]],'[1]BASE DE PLANOS'!A:A,'[1]BASE DE PLANOS'!B:B,"")</f>
        <v>Primária</v>
      </c>
      <c r="E20" s="2">
        <f>_xlfn.XLOOKUP(Tabela3[[#This Row],[ORDEM]],[1]BASE_PROGRAMAÇÃO!A:A,[1]BASE_PROGRAMAÇÃO!D:D,"")</f>
        <v>46115</v>
      </c>
      <c r="F20" s="2" t="str">
        <f>_xlfn.XLOOKUP(Tabela3[[#This Row],[ORDEM]],[1]BASE_PROGRAMAÇÃO!A:A,[1]BASE_PROGRAMAÇÃO!O:O,"")</f>
        <v>INTERNA</v>
      </c>
      <c r="G20" s="2" t="str">
        <f>_xlfn.XLOOKUP(Tabela3[[#This Row],[ORDEM]],[1]BASE_PROGRAMAÇÃO!A:A,[1]BASE_PROGRAMAÇÃO!L:L,"")</f>
        <v>TRATOS CULTURAIS</v>
      </c>
      <c r="H20" t="str">
        <f>_xlfn.XLOOKUP(Tabela3[[#This Row],[ORDEM]],[2]S_POST!$C:$C,[2]S_POST!$AG:$AG,"")</f>
        <v xml:space="preserve"> 310000014</v>
      </c>
      <c r="I20" t="str">
        <f>_xlfn.XLOOKUP(Tabela3[[#This Row],[ORDEM]],[1]BASE_PROGRAMAÇÃO!A:A,[1]BASE_PROGRAMAÇÃO!$E:$E,"")</f>
        <v>Primária</v>
      </c>
      <c r="J20" t="str">
        <f>_xlfn.XLOOKUP(Tabela3[[#This Row],[ORDEM]],[1]ENCERRADAS!A:A,[1]ENCERRADAS!B:B,"")</f>
        <v>P</v>
      </c>
    </row>
    <row r="21" spans="1:10" x14ac:dyDescent="0.25">
      <c r="A21" t="str">
        <f>_xlfn.XLOOKUP(Tabela3[[#This Row],[ORDEM]],[1]BASE_PROGRAMAÇÃO!A:A,[1]BASE_PROGRAMAÇÃO!C:C,"")</f>
        <v>CAMINHOES</v>
      </c>
      <c r="B21">
        <f>_xlfn.XLOOKUP(Tabela3[[#This Row],[ORDEM]],[1]BASE_PROGRAMAÇÃO!A:A,[1]BASE_PROGRAMAÇÃO!B:B,"")</f>
        <v>11050067</v>
      </c>
      <c r="C21">
        <v>200392</v>
      </c>
      <c r="D21" t="str">
        <f>_xlfn.XLOOKUP(Tabela3[[#This Row],[Coluna3]],'[1]BASE DE PLANOS'!A:A,'[1]BASE DE PLANOS'!B:B,"")</f>
        <v>Primária</v>
      </c>
      <c r="E21" s="2">
        <f>_xlfn.XLOOKUP(Tabela3[[#This Row],[ORDEM]],[1]BASE_PROGRAMAÇÃO!A:A,[1]BASE_PROGRAMAÇÃO!D:D,"")</f>
        <v>46115</v>
      </c>
      <c r="F21" s="2" t="str">
        <f>_xlfn.XLOOKUP(Tabela3[[#This Row],[ORDEM]],[1]BASE_PROGRAMAÇÃO!A:A,[1]BASE_PROGRAMAÇÃO!O:O,"")</f>
        <v>INTERNA</v>
      </c>
      <c r="G21" s="2" t="str">
        <f>_xlfn.XLOOKUP(Tabela3[[#This Row],[ORDEM]],[1]BASE_PROGRAMAÇÃO!A:A,[1]BASE_PROGRAMAÇÃO!L:L,"")</f>
        <v>TRATOS CULTURAIS</v>
      </c>
      <c r="H21" t="str">
        <f>_xlfn.XLOOKUP(Tabela3[[#This Row],[ORDEM]],[2]S_POST!$C:$C,[2]S_POST!$AG:$AG,"")</f>
        <v xml:space="preserve"> 310000014</v>
      </c>
      <c r="I21" t="str">
        <f>_xlfn.XLOOKUP(Tabela3[[#This Row],[ORDEM]],[1]BASE_PROGRAMAÇÃO!A:A,[1]BASE_PROGRAMAÇÃO!$E:$E,"")</f>
        <v>Primária</v>
      </c>
      <c r="J21" t="str">
        <f>_xlfn.XLOOKUP(Tabela3[[#This Row],[ORDEM]],[1]ENCERRADAS!A:A,[1]ENCERRADAS!B:B,"")</f>
        <v>P</v>
      </c>
    </row>
    <row r="22" spans="1:10" x14ac:dyDescent="0.25">
      <c r="A22" t="str">
        <f>_xlfn.XLOOKUP(Tabela3[[#This Row],[ORDEM]],[1]BASE_PROGRAMAÇÃO!A:A,[1]BASE_PROGRAMAÇÃO!C:C,"")</f>
        <v>CAMINHOES</v>
      </c>
      <c r="B22">
        <f>_xlfn.XLOOKUP(Tabela3[[#This Row],[ORDEM]],[1]BASE_PROGRAMAÇÃO!A:A,[1]BASE_PROGRAMAÇÃO!B:B,"")</f>
        <v>11050043</v>
      </c>
      <c r="C22">
        <v>200391</v>
      </c>
      <c r="D22" t="str">
        <f>_xlfn.XLOOKUP(Tabela3[[#This Row],[Coluna3]],'[1]BASE DE PLANOS'!A:A,'[1]BASE DE PLANOS'!B:B,"")</f>
        <v>Primária</v>
      </c>
      <c r="E22" s="2">
        <f>_xlfn.XLOOKUP(Tabela3[[#This Row],[ORDEM]],[1]BASE_PROGRAMAÇÃO!A:A,[1]BASE_PROGRAMAÇÃO!D:D,"")</f>
        <v>46113</v>
      </c>
      <c r="F22" s="2" t="str">
        <f>_xlfn.XLOOKUP(Tabela3[[#This Row],[ORDEM]],[1]BASE_PROGRAMAÇÃO!A:A,[1]BASE_PROGRAMAÇÃO!O:O,"")</f>
        <v>INTERNA</v>
      </c>
      <c r="G22" s="2" t="str">
        <f>_xlfn.XLOOKUP(Tabela3[[#This Row],[ORDEM]],[1]BASE_PROGRAMAÇÃO!A:A,[1]BASE_PROGRAMAÇÃO!L:L,"")</f>
        <v>TRATOS CULTURAIS</v>
      </c>
      <c r="H22" t="str">
        <f>_xlfn.XLOOKUP(Tabela3[[#This Row],[ORDEM]],[2]S_POST!$C:$C,[2]S_POST!$AG:$AG,"")</f>
        <v xml:space="preserve"> 310000014</v>
      </c>
      <c r="I22" t="str">
        <f>_xlfn.XLOOKUP(Tabela3[[#This Row],[ORDEM]],[1]BASE_PROGRAMAÇÃO!A:A,[1]BASE_PROGRAMAÇÃO!$E:$E,"")</f>
        <v>Primária</v>
      </c>
      <c r="J22" t="str">
        <f>_xlfn.XLOOKUP(Tabela3[[#This Row],[ORDEM]],[1]ENCERRADAS!A:A,[1]ENCERRADAS!B:B,"")</f>
        <v>P</v>
      </c>
    </row>
    <row r="23" spans="1:10" x14ac:dyDescent="0.25">
      <c r="A23" t="str">
        <f>_xlfn.XLOOKUP(Tabela3[[#This Row],[ORDEM]],[1]BASE_PROGRAMAÇÃO!A:A,[1]BASE_PROGRAMAÇÃO!C:C,"")</f>
        <v>CAMINHOES</v>
      </c>
      <c r="B23">
        <f>_xlfn.XLOOKUP(Tabela3[[#This Row],[ORDEM]],[1]BASE_PROGRAMAÇÃO!A:A,[1]BASE_PROGRAMAÇÃO!B:B,"")</f>
        <v>11050044</v>
      </c>
      <c r="C23">
        <v>200390</v>
      </c>
      <c r="D23" t="str">
        <f>_xlfn.XLOOKUP(Tabela3[[#This Row],[Coluna3]],'[1]BASE DE PLANOS'!A:A,'[1]BASE DE PLANOS'!B:B,"")</f>
        <v>Primária</v>
      </c>
      <c r="E23" s="2">
        <f>_xlfn.XLOOKUP(Tabela3[[#This Row],[ORDEM]],[1]BASE_PROGRAMAÇÃO!A:A,[1]BASE_PROGRAMAÇÃO!D:D,"")</f>
        <v>46114</v>
      </c>
      <c r="F23" s="2" t="str">
        <f>_xlfn.XLOOKUP(Tabela3[[#This Row],[ORDEM]],[1]BASE_PROGRAMAÇÃO!A:A,[1]BASE_PROGRAMAÇÃO!O:O,"")</f>
        <v>INTERNA</v>
      </c>
      <c r="G23" s="2" t="str">
        <f>_xlfn.XLOOKUP(Tabela3[[#This Row],[ORDEM]],[1]BASE_PROGRAMAÇÃO!A:A,[1]BASE_PROGRAMAÇÃO!L:L,"")</f>
        <v>TRATOS CULTURAIS</v>
      </c>
      <c r="H23" t="str">
        <f>_xlfn.XLOOKUP(Tabela3[[#This Row],[ORDEM]],[2]S_POST!$C:$C,[2]S_POST!$AG:$AG,"")</f>
        <v xml:space="preserve"> 310000014</v>
      </c>
      <c r="I23" t="str">
        <f>_xlfn.XLOOKUP(Tabela3[[#This Row],[ORDEM]],[1]BASE_PROGRAMAÇÃO!A:A,[1]BASE_PROGRAMAÇÃO!$E:$E,"")</f>
        <v>Primária</v>
      </c>
      <c r="J23" t="str">
        <f>_xlfn.XLOOKUP(Tabela3[[#This Row],[ORDEM]],[1]ENCERRADAS!A:A,[1]ENCERRADAS!B:B,"")</f>
        <v>P</v>
      </c>
    </row>
    <row r="24" spans="1:10" x14ac:dyDescent="0.25">
      <c r="A24" t="str">
        <f>_xlfn.XLOOKUP(Tabela3[[#This Row],[ORDEM]],[1]BASE_PROGRAMAÇÃO!A:A,[1]BASE_PROGRAMAÇÃO!C:C,"")</f>
        <v>CAMINHOES</v>
      </c>
      <c r="B24">
        <f>_xlfn.XLOOKUP(Tabela3[[#This Row],[ORDEM]],[1]BASE_PROGRAMAÇÃO!A:A,[1]BASE_PROGRAMAÇÃO!B:B,"")</f>
        <v>11050042</v>
      </c>
      <c r="C24">
        <v>200389</v>
      </c>
      <c r="D24" t="str">
        <f>_xlfn.XLOOKUP(Tabela3[[#This Row],[Coluna3]],'[1]BASE DE PLANOS'!A:A,'[1]BASE DE PLANOS'!B:B,"")</f>
        <v>Primária</v>
      </c>
      <c r="E24" s="2">
        <f>_xlfn.XLOOKUP(Tabela3[[#This Row],[ORDEM]],[1]BASE_PROGRAMAÇÃO!A:A,[1]BASE_PROGRAMAÇÃO!D:D,"")</f>
        <v>46112</v>
      </c>
      <c r="F24" s="2" t="str">
        <f>_xlfn.XLOOKUP(Tabela3[[#This Row],[ORDEM]],[1]BASE_PROGRAMAÇÃO!A:A,[1]BASE_PROGRAMAÇÃO!O:O,"")</f>
        <v>INTERNA</v>
      </c>
      <c r="G24" s="2" t="str">
        <f>_xlfn.XLOOKUP(Tabela3[[#This Row],[ORDEM]],[1]BASE_PROGRAMAÇÃO!A:A,[1]BASE_PROGRAMAÇÃO!L:L,"")</f>
        <v>TRATOS CULTURAIS</v>
      </c>
      <c r="H24" t="str">
        <f>_xlfn.XLOOKUP(Tabela3[[#This Row],[ORDEM]],[2]S_POST!$C:$C,[2]S_POST!$AG:$AG,"")</f>
        <v xml:space="preserve"> 310000014</v>
      </c>
      <c r="I24" t="str">
        <f>_xlfn.XLOOKUP(Tabela3[[#This Row],[ORDEM]],[1]BASE_PROGRAMAÇÃO!A:A,[1]BASE_PROGRAMAÇÃO!$E:$E,"")</f>
        <v>Primária</v>
      </c>
      <c r="J24" t="str">
        <f>_xlfn.XLOOKUP(Tabela3[[#This Row],[ORDEM]],[1]ENCERRADAS!A:A,[1]ENCERRADAS!B:B,"")</f>
        <v>P</v>
      </c>
    </row>
    <row r="25" spans="1:10" x14ac:dyDescent="0.25">
      <c r="A25" t="str">
        <f>_xlfn.XLOOKUP(Tabela3[[#This Row],[ORDEM]],[1]BASE_PROGRAMAÇÃO!A:A,[1]BASE_PROGRAMAÇÃO!C:C,"")</f>
        <v>MAQUINAS PESADAS</v>
      </c>
      <c r="B25">
        <f>_xlfn.XLOOKUP(Tabela3[[#This Row],[ORDEM]],[1]BASE_PROGRAMAÇÃO!A:A,[1]BASE_PROGRAMAÇÃO!B:B,"")</f>
        <v>13050051</v>
      </c>
      <c r="C25">
        <v>200388</v>
      </c>
      <c r="D25" t="str">
        <f>_xlfn.XLOOKUP(Tabela3[[#This Row],[Coluna3]],'[1]BASE DE PLANOS'!A:A,'[1]BASE DE PLANOS'!B:B,"")</f>
        <v>Primária</v>
      </c>
      <c r="E25" s="2">
        <f>_xlfn.XLOOKUP(Tabela3[[#This Row],[ORDEM]],[1]BASE_PROGRAMAÇÃO!A:A,[1]BASE_PROGRAMAÇÃO!D:D,"")</f>
        <v>46115</v>
      </c>
      <c r="F25" s="2" t="str">
        <f>_xlfn.XLOOKUP(Tabela3[[#This Row],[ORDEM]],[1]BASE_PROGRAMAÇÃO!A:A,[1]BASE_PROGRAMAÇÃO!O:O,"")</f>
        <v>CAMPO</v>
      </c>
      <c r="G25" s="2" t="str">
        <f>_xlfn.XLOOKUP(Tabela3[[#This Row],[ORDEM]],[1]BASE_PROGRAMAÇÃO!A:A,[1]BASE_PROGRAMAÇÃO!L:L,"")</f>
        <v>TRATOS CULTURAIS</v>
      </c>
      <c r="H25" t="str">
        <f>_xlfn.XLOOKUP(Tabela3[[#This Row],[ORDEM]],[2]S_POST!$C:$C,[2]S_POST!$AG:$AG,"")</f>
        <v xml:space="preserve"> 310000014</v>
      </c>
      <c r="I25" t="str">
        <f>_xlfn.XLOOKUP(Tabela3[[#This Row],[ORDEM]],[1]BASE_PROGRAMAÇÃO!A:A,[1]BASE_PROGRAMAÇÃO!$E:$E,"")</f>
        <v>Primária</v>
      </c>
      <c r="J25" t="str">
        <f>_xlfn.XLOOKUP(Tabela3[[#This Row],[ORDEM]],[1]ENCERRADAS!A:A,[1]ENCERRADAS!B:B,"")</f>
        <v>P</v>
      </c>
    </row>
    <row r="26" spans="1:10" x14ac:dyDescent="0.25">
      <c r="A26" t="str">
        <f>_xlfn.XLOOKUP(Tabela3[[#This Row],[ORDEM]],[1]BASE_PROGRAMAÇÃO!A:A,[1]BASE_PROGRAMAÇÃO!C:C,"")</f>
        <v>TRATORES</v>
      </c>
      <c r="B26">
        <f>_xlfn.XLOOKUP(Tabela3[[#This Row],[ORDEM]],[1]BASE_PROGRAMAÇÃO!A:A,[1]BASE_PROGRAMAÇÃO!B:B,"")</f>
        <v>13130024</v>
      </c>
      <c r="C26">
        <v>200387</v>
      </c>
      <c r="D26" t="str">
        <f>_xlfn.XLOOKUP(Tabela3[[#This Row],[Coluna3]],'[1]BASE DE PLANOS'!A:A,'[1]BASE DE PLANOS'!B:B,"")</f>
        <v>Primária</v>
      </c>
      <c r="E26" s="2">
        <f>_xlfn.XLOOKUP(Tabela3[[#This Row],[ORDEM]],[1]BASE_PROGRAMAÇÃO!A:A,[1]BASE_PROGRAMAÇÃO!D:D,"")</f>
        <v>46116</v>
      </c>
      <c r="F26" s="2" t="str">
        <f>_xlfn.XLOOKUP(Tabela3[[#This Row],[ORDEM]],[1]BASE_PROGRAMAÇÃO!A:A,[1]BASE_PROGRAMAÇÃO!O:O,"")</f>
        <v>CAMPO</v>
      </c>
      <c r="G26" s="2" t="str">
        <f>_xlfn.XLOOKUP(Tabela3[[#This Row],[ORDEM]],[1]BASE_PROGRAMAÇÃO!A:A,[1]BASE_PROGRAMAÇÃO!L:L,"")</f>
        <v>TRATOS CULTURAIS</v>
      </c>
      <c r="H26" t="str">
        <f>_xlfn.XLOOKUP(Tabela3[[#This Row],[ORDEM]],[2]S_POST!$C:$C,[2]S_POST!$AG:$AG,"")</f>
        <v xml:space="preserve"> 310000014</v>
      </c>
      <c r="I26" t="str">
        <f>_xlfn.XLOOKUP(Tabela3[[#This Row],[ORDEM]],[1]BASE_PROGRAMAÇÃO!A:A,[1]BASE_PROGRAMAÇÃO!$E:$E,"")</f>
        <v>Primária</v>
      </c>
      <c r="J26" t="str">
        <f>_xlfn.XLOOKUP(Tabela3[[#This Row],[ORDEM]],[1]ENCERRADAS!A:A,[1]ENCERRADAS!B:B,"")</f>
        <v>P</v>
      </c>
    </row>
    <row r="27" spans="1:10" x14ac:dyDescent="0.25">
      <c r="A27" t="str">
        <f>_xlfn.XLOOKUP(Tabela3[[#This Row],[ORDEM]],[1]BASE_PROGRAMAÇÃO!A:A,[1]BASE_PROGRAMAÇÃO!C:C,"")</f>
        <v>TRATORES</v>
      </c>
      <c r="B27">
        <f>_xlfn.XLOOKUP(Tabela3[[#This Row],[ORDEM]],[1]BASE_PROGRAMAÇÃO!A:A,[1]BASE_PROGRAMAÇÃO!B:B,"")</f>
        <v>13090362</v>
      </c>
      <c r="C27">
        <v>200386</v>
      </c>
      <c r="D27" t="str">
        <f>_xlfn.XLOOKUP(Tabela3[[#This Row],[Coluna3]],'[1]BASE DE PLANOS'!A:A,'[1]BASE DE PLANOS'!B:B,"")</f>
        <v>Primária</v>
      </c>
      <c r="E27" s="2">
        <f>_xlfn.XLOOKUP(Tabela3[[#This Row],[ORDEM]],[1]BASE_PROGRAMAÇÃO!A:A,[1]BASE_PROGRAMAÇÃO!D:D,"")</f>
        <v>46114</v>
      </c>
      <c r="F27" s="2" t="str">
        <f>_xlfn.XLOOKUP(Tabela3[[#This Row],[ORDEM]],[1]BASE_PROGRAMAÇÃO!A:A,[1]BASE_PROGRAMAÇÃO!O:O,"")</f>
        <v>CAMPO</v>
      </c>
      <c r="G27" s="2" t="str">
        <f>_xlfn.XLOOKUP(Tabela3[[#This Row],[ORDEM]],[1]BASE_PROGRAMAÇÃO!A:A,[1]BASE_PROGRAMAÇÃO!L:L,"")</f>
        <v>TRATOS CULTURAIS</v>
      </c>
      <c r="H27" t="str">
        <f>_xlfn.XLOOKUP(Tabela3[[#This Row],[ORDEM]],[2]S_POST!$C:$C,[2]S_POST!$AG:$AG,"")</f>
        <v xml:space="preserve"> 310000014</v>
      </c>
      <c r="I27" t="str">
        <f>_xlfn.XLOOKUP(Tabela3[[#This Row],[ORDEM]],[1]BASE_PROGRAMAÇÃO!A:A,[1]BASE_PROGRAMAÇÃO!$E:$E,"")</f>
        <v>Primária</v>
      </c>
      <c r="J27" t="str">
        <f>_xlfn.XLOOKUP(Tabela3[[#This Row],[ORDEM]],[1]ENCERRADAS!A:A,[1]ENCERRADAS!B:B,"")</f>
        <v>P</v>
      </c>
    </row>
    <row r="28" spans="1:10" x14ac:dyDescent="0.25">
      <c r="A28" t="str">
        <f>_xlfn.XLOOKUP(Tabela3[[#This Row],[ORDEM]],[1]BASE_PROGRAMAÇÃO!A:A,[1]BASE_PROGRAMAÇÃO!C:C,"")</f>
        <v>TRATORES</v>
      </c>
      <c r="B28">
        <f>_xlfn.XLOOKUP(Tabela3[[#This Row],[ORDEM]],[1]BASE_PROGRAMAÇÃO!A:A,[1]BASE_PROGRAMAÇÃO!B:B,"")</f>
        <v>13090005</v>
      </c>
      <c r="C28">
        <v>200385</v>
      </c>
      <c r="D28" t="str">
        <f>_xlfn.XLOOKUP(Tabela3[[#This Row],[Coluna3]],'[1]BASE DE PLANOS'!A:A,'[1]BASE DE PLANOS'!B:B,"")</f>
        <v>Primária</v>
      </c>
      <c r="E28" s="2">
        <f>_xlfn.XLOOKUP(Tabela3[[#This Row],[ORDEM]],[1]BASE_PROGRAMAÇÃO!A:A,[1]BASE_PROGRAMAÇÃO!D:D,"")</f>
        <v>46116</v>
      </c>
      <c r="F28" s="2" t="str">
        <f>_xlfn.XLOOKUP(Tabela3[[#This Row],[ORDEM]],[1]BASE_PROGRAMAÇÃO!A:A,[1]BASE_PROGRAMAÇÃO!O:O,"")</f>
        <v>CAMPO</v>
      </c>
      <c r="G28" s="2" t="str">
        <f>_xlfn.XLOOKUP(Tabela3[[#This Row],[ORDEM]],[1]BASE_PROGRAMAÇÃO!A:A,[1]BASE_PROGRAMAÇÃO!L:L,"")</f>
        <v>TRATOS CULTURAIS</v>
      </c>
      <c r="H28" t="str">
        <f>_xlfn.XLOOKUP(Tabela3[[#This Row],[ORDEM]],[2]S_POST!$C:$C,[2]S_POST!$AG:$AG,"")</f>
        <v xml:space="preserve"> 310000014</v>
      </c>
      <c r="I28" t="str">
        <f>_xlfn.XLOOKUP(Tabela3[[#This Row],[ORDEM]],[1]BASE_PROGRAMAÇÃO!A:A,[1]BASE_PROGRAMAÇÃO!$E:$E,"")</f>
        <v>Primária</v>
      </c>
      <c r="J28" t="str">
        <f>_xlfn.XLOOKUP(Tabela3[[#This Row],[ORDEM]],[1]ENCERRADAS!A:A,[1]ENCERRADAS!B:B,"")</f>
        <v>P</v>
      </c>
    </row>
    <row r="29" spans="1:10" x14ac:dyDescent="0.25">
      <c r="A29" t="str">
        <f>_xlfn.XLOOKUP(Tabela3[[#This Row],[ORDEM]],[1]BASE_PROGRAMAÇÃO!A:A,[1]BASE_PROGRAMAÇÃO!C:C,"")</f>
        <v>TRATORES</v>
      </c>
      <c r="B29">
        <f>_xlfn.XLOOKUP(Tabela3[[#This Row],[ORDEM]],[1]BASE_PROGRAMAÇÃO!A:A,[1]BASE_PROGRAMAÇÃO!B:B,"")</f>
        <v>13100277</v>
      </c>
      <c r="C29">
        <v>200384</v>
      </c>
      <c r="D29" t="str">
        <f>_xlfn.XLOOKUP(Tabela3[[#This Row],[Coluna3]],'[1]BASE DE PLANOS'!A:A,'[1]BASE DE PLANOS'!B:B,"")</f>
        <v>Primária</v>
      </c>
      <c r="E29" s="2">
        <f>_xlfn.XLOOKUP(Tabela3[[#This Row],[ORDEM]],[1]BASE_PROGRAMAÇÃO!A:A,[1]BASE_PROGRAMAÇÃO!D:D,"")</f>
        <v>46116</v>
      </c>
      <c r="F29" s="2" t="str">
        <f>_xlfn.XLOOKUP(Tabela3[[#This Row],[ORDEM]],[1]BASE_PROGRAMAÇÃO!A:A,[1]BASE_PROGRAMAÇÃO!O:O,"")</f>
        <v>CAMPO</v>
      </c>
      <c r="G29" s="2" t="str">
        <f>_xlfn.XLOOKUP(Tabela3[[#This Row],[ORDEM]],[1]BASE_PROGRAMAÇÃO!A:A,[1]BASE_PROGRAMAÇÃO!L:L,"")</f>
        <v>TRATOS CULTURAIS</v>
      </c>
      <c r="H29" t="str">
        <f>_xlfn.XLOOKUP(Tabela3[[#This Row],[ORDEM]],[2]S_POST!$C:$C,[2]S_POST!$AG:$AG,"")</f>
        <v xml:space="preserve"> 310000014</v>
      </c>
      <c r="I29" t="str">
        <f>_xlfn.XLOOKUP(Tabela3[[#This Row],[ORDEM]],[1]BASE_PROGRAMAÇÃO!A:A,[1]BASE_PROGRAMAÇÃO!$E:$E,"")</f>
        <v>Primária</v>
      </c>
      <c r="J29" t="str">
        <f>_xlfn.XLOOKUP(Tabela3[[#This Row],[ORDEM]],[1]ENCERRADAS!A:A,[1]ENCERRADAS!B:B,"")</f>
        <v>P</v>
      </c>
    </row>
    <row r="30" spans="1:10" x14ac:dyDescent="0.25">
      <c r="A30" t="str">
        <f>_xlfn.XLOOKUP(Tabela3[[#This Row],[ORDEM]],[1]BASE_PROGRAMAÇÃO!A:A,[1]BASE_PROGRAMAÇÃO!C:C,"")</f>
        <v>TRATORES</v>
      </c>
      <c r="B30">
        <f>_xlfn.XLOOKUP(Tabela3[[#This Row],[ORDEM]],[1]BASE_PROGRAMAÇÃO!A:A,[1]BASE_PROGRAMAÇÃO!B:B,"")</f>
        <v>13100010</v>
      </c>
      <c r="C30">
        <v>200383</v>
      </c>
      <c r="D30" t="str">
        <f>_xlfn.XLOOKUP(Tabela3[[#This Row],[Coluna3]],'[1]BASE DE PLANOS'!A:A,'[1]BASE DE PLANOS'!B:B,"")</f>
        <v>Primária</v>
      </c>
      <c r="E30" s="2">
        <f>_xlfn.XLOOKUP(Tabela3[[#This Row],[ORDEM]],[1]BASE_PROGRAMAÇÃO!A:A,[1]BASE_PROGRAMAÇÃO!D:D,"")</f>
        <v>46111</v>
      </c>
      <c r="F30" s="2" t="str">
        <f>_xlfn.XLOOKUP(Tabela3[[#This Row],[ORDEM]],[1]BASE_PROGRAMAÇÃO!A:A,[1]BASE_PROGRAMAÇÃO!O:O,"")</f>
        <v>CAMPO</v>
      </c>
      <c r="G30" s="2" t="str">
        <f>_xlfn.XLOOKUP(Tabela3[[#This Row],[ORDEM]],[1]BASE_PROGRAMAÇÃO!A:A,[1]BASE_PROGRAMAÇÃO!L:L,"")</f>
        <v>TRATOS CULTURAIS</v>
      </c>
      <c r="H30" t="str">
        <f>_xlfn.XLOOKUP(Tabela3[[#This Row],[ORDEM]],[2]S_POST!$C:$C,[2]S_POST!$AG:$AG,"")</f>
        <v xml:space="preserve"> 310000014</v>
      </c>
      <c r="I30" t="str">
        <f>_xlfn.XLOOKUP(Tabela3[[#This Row],[ORDEM]],[1]BASE_PROGRAMAÇÃO!A:A,[1]BASE_PROGRAMAÇÃO!$E:$E,"")</f>
        <v>Primária</v>
      </c>
      <c r="J30" t="str">
        <f>_xlfn.XLOOKUP(Tabela3[[#This Row],[ORDEM]],[1]ENCERRADAS!A:A,[1]ENCERRADAS!B:B,"")</f>
        <v>P</v>
      </c>
    </row>
    <row r="31" spans="1:10" x14ac:dyDescent="0.25">
      <c r="A31" t="str">
        <f>_xlfn.XLOOKUP(Tabela3[[#This Row],[ORDEM]],[1]BASE_PROGRAMAÇÃO!A:A,[1]BASE_PROGRAMAÇÃO!C:C,"")</f>
        <v>TRATORES</v>
      </c>
      <c r="B31">
        <f>_xlfn.XLOOKUP(Tabela3[[#This Row],[ORDEM]],[1]BASE_PROGRAMAÇÃO!A:A,[1]BASE_PROGRAMAÇÃO!B:B,"")</f>
        <v>13100002</v>
      </c>
      <c r="C31">
        <v>200382</v>
      </c>
      <c r="D31" t="str">
        <f>_xlfn.XLOOKUP(Tabela3[[#This Row],[Coluna3]],'[1]BASE DE PLANOS'!A:A,'[1]BASE DE PLANOS'!B:B,"")</f>
        <v>Primária</v>
      </c>
      <c r="E31" s="2">
        <f>_xlfn.XLOOKUP(Tabela3[[#This Row],[ORDEM]],[1]BASE_PROGRAMAÇÃO!A:A,[1]BASE_PROGRAMAÇÃO!D:D,"")</f>
        <v>46114</v>
      </c>
      <c r="F31" s="2" t="str">
        <f>_xlfn.XLOOKUP(Tabela3[[#This Row],[ORDEM]],[1]BASE_PROGRAMAÇÃO!A:A,[1]BASE_PROGRAMAÇÃO!O:O,"")</f>
        <v>CAMPO</v>
      </c>
      <c r="G31" s="2" t="str">
        <f>_xlfn.XLOOKUP(Tabela3[[#This Row],[ORDEM]],[1]BASE_PROGRAMAÇÃO!A:A,[1]BASE_PROGRAMAÇÃO!L:L,"")</f>
        <v>TRATOS CULTURAIS</v>
      </c>
      <c r="H31" t="str">
        <f>_xlfn.XLOOKUP(Tabela3[[#This Row],[ORDEM]],[2]S_POST!$C:$C,[2]S_POST!$AG:$AG,"")</f>
        <v xml:space="preserve"> 310000014</v>
      </c>
      <c r="I31" t="str">
        <f>_xlfn.XLOOKUP(Tabela3[[#This Row],[ORDEM]],[1]BASE_PROGRAMAÇÃO!A:A,[1]BASE_PROGRAMAÇÃO!$E:$E,"")</f>
        <v>Primária</v>
      </c>
      <c r="J31" t="str">
        <f>_xlfn.XLOOKUP(Tabela3[[#This Row],[ORDEM]],[1]ENCERRADAS!A:A,[1]ENCERRADAS!B:B,"")</f>
        <v>P</v>
      </c>
    </row>
    <row r="32" spans="1:10" x14ac:dyDescent="0.25">
      <c r="A32" t="str">
        <f>_xlfn.XLOOKUP(Tabela3[[#This Row],[ORDEM]],[1]BASE_PROGRAMAÇÃO!A:A,[1]BASE_PROGRAMAÇÃO!C:C,"")</f>
        <v>TRATORES</v>
      </c>
      <c r="B32">
        <f>_xlfn.XLOOKUP(Tabela3[[#This Row],[ORDEM]],[1]BASE_PROGRAMAÇÃO!A:A,[1]BASE_PROGRAMAÇÃO!B:B,"")</f>
        <v>13100001</v>
      </c>
      <c r="C32">
        <v>200381</v>
      </c>
      <c r="D32" t="str">
        <f>_xlfn.XLOOKUP(Tabela3[[#This Row],[Coluna3]],'[1]BASE DE PLANOS'!A:A,'[1]BASE DE PLANOS'!B:B,"")</f>
        <v>Primária</v>
      </c>
      <c r="E32" s="2">
        <f>_xlfn.XLOOKUP(Tabela3[[#This Row],[ORDEM]],[1]BASE_PROGRAMAÇÃO!A:A,[1]BASE_PROGRAMAÇÃO!D:D,"")</f>
        <v>46111</v>
      </c>
      <c r="F32" s="2" t="str">
        <f>_xlfn.XLOOKUP(Tabela3[[#This Row],[ORDEM]],[1]BASE_PROGRAMAÇÃO!A:A,[1]BASE_PROGRAMAÇÃO!O:O,"")</f>
        <v>CAMPO</v>
      </c>
      <c r="G32" s="2" t="str">
        <f>_xlfn.XLOOKUP(Tabela3[[#This Row],[ORDEM]],[1]BASE_PROGRAMAÇÃO!A:A,[1]BASE_PROGRAMAÇÃO!L:L,"")</f>
        <v>TRATOS CULTURAIS</v>
      </c>
      <c r="H32" t="str">
        <f>_xlfn.XLOOKUP(Tabela3[[#This Row],[ORDEM]],[2]S_POST!$C:$C,[2]S_POST!$AG:$AG,"")</f>
        <v xml:space="preserve"> 310000014</v>
      </c>
      <c r="I32" t="str">
        <f>_xlfn.XLOOKUP(Tabela3[[#This Row],[ORDEM]],[1]BASE_PROGRAMAÇÃO!A:A,[1]BASE_PROGRAMAÇÃO!$E:$E,"")</f>
        <v>Primária</v>
      </c>
      <c r="J32" t="str">
        <f>_xlfn.XLOOKUP(Tabela3[[#This Row],[ORDEM]],[1]ENCERRADAS!A:A,[1]ENCERRADAS!B:B,"")</f>
        <v>P</v>
      </c>
    </row>
    <row r="33" spans="1:10" x14ac:dyDescent="0.25">
      <c r="A33" t="str">
        <f>_xlfn.XLOOKUP(Tabela3[[#This Row],[ORDEM]],[1]BASE_PROGRAMAÇÃO!A:A,[1]BASE_PROGRAMAÇÃO!C:C,"")</f>
        <v>TRATORES</v>
      </c>
      <c r="B33">
        <f>_xlfn.XLOOKUP(Tabela3[[#This Row],[ORDEM]],[1]BASE_PROGRAMAÇÃO!A:A,[1]BASE_PROGRAMAÇÃO!B:B,"")</f>
        <v>13090331</v>
      </c>
      <c r="C33">
        <v>200380</v>
      </c>
      <c r="D33" t="str">
        <f>_xlfn.XLOOKUP(Tabela3[[#This Row],[Coluna3]],'[1]BASE DE PLANOS'!A:A,'[1]BASE DE PLANOS'!B:B,"")</f>
        <v>Primária</v>
      </c>
      <c r="E33" s="2">
        <f>_xlfn.XLOOKUP(Tabela3[[#This Row],[ORDEM]],[1]BASE_PROGRAMAÇÃO!A:A,[1]BASE_PROGRAMAÇÃO!D:D,"")</f>
        <v>46116</v>
      </c>
      <c r="F33" s="2" t="str">
        <f>_xlfn.XLOOKUP(Tabela3[[#This Row],[ORDEM]],[1]BASE_PROGRAMAÇÃO!A:A,[1]BASE_PROGRAMAÇÃO!O:O,"")</f>
        <v>CAMPO</v>
      </c>
      <c r="G33" s="2" t="str">
        <f>_xlfn.XLOOKUP(Tabela3[[#This Row],[ORDEM]],[1]BASE_PROGRAMAÇÃO!A:A,[1]BASE_PROGRAMAÇÃO!L:L,"")</f>
        <v>TRATOS CULTURAIS</v>
      </c>
      <c r="H33" t="str">
        <f>_xlfn.XLOOKUP(Tabela3[[#This Row],[ORDEM]],[2]S_POST!$C:$C,[2]S_POST!$AG:$AG,"")</f>
        <v xml:space="preserve"> 310000014</v>
      </c>
      <c r="I33" t="str">
        <f>_xlfn.XLOOKUP(Tabela3[[#This Row],[ORDEM]],[1]BASE_PROGRAMAÇÃO!A:A,[1]BASE_PROGRAMAÇÃO!$E:$E,"")</f>
        <v>Primária</v>
      </c>
      <c r="J33" t="str">
        <f>_xlfn.XLOOKUP(Tabela3[[#This Row],[ORDEM]],[1]ENCERRADAS!A:A,[1]ENCERRADAS!B:B,"")</f>
        <v>P</v>
      </c>
    </row>
    <row r="34" spans="1:10" x14ac:dyDescent="0.25">
      <c r="A34" t="str">
        <f>_xlfn.XLOOKUP(Tabela3[[#This Row],[ORDEM]],[1]BASE_PROGRAMAÇÃO!A:A,[1]BASE_PROGRAMAÇÃO!C:C,"")</f>
        <v>TRATORES</v>
      </c>
      <c r="B34">
        <f>_xlfn.XLOOKUP(Tabela3[[#This Row],[ORDEM]],[1]BASE_PROGRAMAÇÃO!A:A,[1]BASE_PROGRAMAÇÃO!B:B,"")</f>
        <v>13090322</v>
      </c>
      <c r="C34">
        <v>200379</v>
      </c>
      <c r="D34" t="str">
        <f>_xlfn.XLOOKUP(Tabela3[[#This Row],[Coluna3]],'[1]BASE DE PLANOS'!A:A,'[1]BASE DE PLANOS'!B:B,"")</f>
        <v>Primária</v>
      </c>
      <c r="E34" s="2">
        <f>_xlfn.XLOOKUP(Tabela3[[#This Row],[ORDEM]],[1]BASE_PROGRAMAÇÃO!A:A,[1]BASE_PROGRAMAÇÃO!D:D,"")</f>
        <v>46113</v>
      </c>
      <c r="F34" s="2" t="str">
        <f>_xlfn.XLOOKUP(Tabela3[[#This Row],[ORDEM]],[1]BASE_PROGRAMAÇÃO!A:A,[1]BASE_PROGRAMAÇÃO!O:O,"")</f>
        <v>CAMPO</v>
      </c>
      <c r="G34" s="2" t="str">
        <f>_xlfn.XLOOKUP(Tabela3[[#This Row],[ORDEM]],[1]BASE_PROGRAMAÇÃO!A:A,[1]BASE_PROGRAMAÇÃO!L:L,"")</f>
        <v>TRATOS CULTURAIS</v>
      </c>
      <c r="H34" t="str">
        <f>_xlfn.XLOOKUP(Tabela3[[#This Row],[ORDEM]],[2]S_POST!$C:$C,[2]S_POST!$AG:$AG,"")</f>
        <v xml:space="preserve"> 310000014</v>
      </c>
      <c r="I34" t="str">
        <f>_xlfn.XLOOKUP(Tabela3[[#This Row],[ORDEM]],[1]BASE_PROGRAMAÇÃO!A:A,[1]BASE_PROGRAMAÇÃO!$E:$E,"")</f>
        <v>Primária</v>
      </c>
      <c r="J34" t="str">
        <f>_xlfn.XLOOKUP(Tabela3[[#This Row],[ORDEM]],[1]ENCERRADAS!A:A,[1]ENCERRADAS!B:B,"")</f>
        <v>P</v>
      </c>
    </row>
    <row r="35" spans="1:10" x14ac:dyDescent="0.25">
      <c r="A35" t="str">
        <f>_xlfn.XLOOKUP(Tabela3[[#This Row],[ORDEM]],[1]BASE_PROGRAMAÇÃO!A:A,[1]BASE_PROGRAMAÇÃO!C:C,"")</f>
        <v>TRATORES</v>
      </c>
      <c r="B35">
        <f>_xlfn.XLOOKUP(Tabela3[[#This Row],[ORDEM]],[1]BASE_PROGRAMAÇÃO!A:A,[1]BASE_PROGRAMAÇÃO!B:B,"")</f>
        <v>13090321</v>
      </c>
      <c r="C35">
        <v>200378</v>
      </c>
      <c r="D35" t="str">
        <f>_xlfn.XLOOKUP(Tabela3[[#This Row],[Coluna3]],'[1]BASE DE PLANOS'!A:A,'[1]BASE DE PLANOS'!B:B,"")</f>
        <v>Primária</v>
      </c>
      <c r="E35" s="2">
        <f>_xlfn.XLOOKUP(Tabela3[[#This Row],[ORDEM]],[1]BASE_PROGRAMAÇÃO!A:A,[1]BASE_PROGRAMAÇÃO!D:D,"")</f>
        <v>46113</v>
      </c>
      <c r="F35" s="2" t="str">
        <f>_xlfn.XLOOKUP(Tabela3[[#This Row],[ORDEM]],[1]BASE_PROGRAMAÇÃO!A:A,[1]BASE_PROGRAMAÇÃO!O:O,"")</f>
        <v>CAMPO</v>
      </c>
      <c r="G35" s="2" t="str">
        <f>_xlfn.XLOOKUP(Tabela3[[#This Row],[ORDEM]],[1]BASE_PROGRAMAÇÃO!A:A,[1]BASE_PROGRAMAÇÃO!L:L,"")</f>
        <v>TRATOS CULTURAIS</v>
      </c>
      <c r="H35" t="str">
        <f>_xlfn.XLOOKUP(Tabela3[[#This Row],[ORDEM]],[2]S_POST!$C:$C,[2]S_POST!$AG:$AG,"")</f>
        <v xml:space="preserve"> 310000014</v>
      </c>
      <c r="I35" t="str">
        <f>_xlfn.XLOOKUP(Tabela3[[#This Row],[ORDEM]],[1]BASE_PROGRAMAÇÃO!A:A,[1]BASE_PROGRAMAÇÃO!$E:$E,"")</f>
        <v>Primária</v>
      </c>
      <c r="J35" t="str">
        <f>_xlfn.XLOOKUP(Tabela3[[#This Row],[ORDEM]],[1]ENCERRADAS!A:A,[1]ENCERRADAS!B:B,"")</f>
        <v>P</v>
      </c>
    </row>
    <row r="36" spans="1:10" x14ac:dyDescent="0.25">
      <c r="A36" t="str">
        <f>_xlfn.XLOOKUP(Tabela3[[#This Row],[ORDEM]],[1]BASE_PROGRAMAÇÃO!A:A,[1]BASE_PROGRAMAÇÃO!C:C,"")</f>
        <v>TRATORES</v>
      </c>
      <c r="B36">
        <f>_xlfn.XLOOKUP(Tabela3[[#This Row],[ORDEM]],[1]BASE_PROGRAMAÇÃO!A:A,[1]BASE_PROGRAMAÇÃO!B:B,"")</f>
        <v>13090308</v>
      </c>
      <c r="C36">
        <v>200377</v>
      </c>
      <c r="D36" t="str">
        <f>_xlfn.XLOOKUP(Tabela3[[#This Row],[Coluna3]],'[1]BASE DE PLANOS'!A:A,'[1]BASE DE PLANOS'!B:B,"")</f>
        <v>Primária</v>
      </c>
      <c r="E36" s="2">
        <f>_xlfn.XLOOKUP(Tabela3[[#This Row],[ORDEM]],[1]BASE_PROGRAMAÇÃO!A:A,[1]BASE_PROGRAMAÇÃO!D:D,"")</f>
        <v>46114</v>
      </c>
      <c r="F36" s="2" t="str">
        <f>_xlfn.XLOOKUP(Tabela3[[#This Row],[ORDEM]],[1]BASE_PROGRAMAÇÃO!A:A,[1]BASE_PROGRAMAÇÃO!O:O,"")</f>
        <v>CAMPO</v>
      </c>
      <c r="G36" s="2" t="str">
        <f>_xlfn.XLOOKUP(Tabela3[[#This Row],[ORDEM]],[1]BASE_PROGRAMAÇÃO!A:A,[1]BASE_PROGRAMAÇÃO!L:L,"")</f>
        <v>TRATOS CULTURAIS</v>
      </c>
      <c r="H36" t="str">
        <f>_xlfn.XLOOKUP(Tabela3[[#This Row],[ORDEM]],[2]S_POST!$C:$C,[2]S_POST!$AG:$AG,"")</f>
        <v xml:space="preserve"> 310000014</v>
      </c>
      <c r="I36" t="str">
        <f>_xlfn.XLOOKUP(Tabela3[[#This Row],[ORDEM]],[1]BASE_PROGRAMAÇÃO!A:A,[1]BASE_PROGRAMAÇÃO!$E:$E,"")</f>
        <v>Primária</v>
      </c>
      <c r="J36" t="str">
        <f>_xlfn.XLOOKUP(Tabela3[[#This Row],[ORDEM]],[1]ENCERRADAS!A:A,[1]ENCERRADAS!B:B,"")</f>
        <v>P</v>
      </c>
    </row>
    <row r="37" spans="1:10" x14ac:dyDescent="0.25">
      <c r="A37" t="str">
        <f>_xlfn.XLOOKUP(Tabela3[[#This Row],[ORDEM]],[1]BASE_PROGRAMAÇÃO!A:A,[1]BASE_PROGRAMAÇÃO!C:C,"")</f>
        <v>TRATORES</v>
      </c>
      <c r="B37">
        <f>_xlfn.XLOOKUP(Tabela3[[#This Row],[ORDEM]],[1]BASE_PROGRAMAÇÃO!A:A,[1]BASE_PROGRAMAÇÃO!B:B,"")</f>
        <v>13090022</v>
      </c>
      <c r="C37">
        <v>200376</v>
      </c>
      <c r="D37" t="str">
        <f>_xlfn.XLOOKUP(Tabela3[[#This Row],[Coluna3]],'[1]BASE DE PLANOS'!A:A,'[1]BASE DE PLANOS'!B:B,"")</f>
        <v>Primária</v>
      </c>
      <c r="E37" s="2">
        <f>_xlfn.XLOOKUP(Tabela3[[#This Row],[ORDEM]],[1]BASE_PROGRAMAÇÃO!A:A,[1]BASE_PROGRAMAÇÃO!D:D,"")</f>
        <v>46111</v>
      </c>
      <c r="F37" s="2" t="str">
        <f>_xlfn.XLOOKUP(Tabela3[[#This Row],[ORDEM]],[1]BASE_PROGRAMAÇÃO!A:A,[1]BASE_PROGRAMAÇÃO!O:O,"")</f>
        <v>CAMPO</v>
      </c>
      <c r="G37" s="2" t="str">
        <f>_xlfn.XLOOKUP(Tabela3[[#This Row],[ORDEM]],[1]BASE_PROGRAMAÇÃO!A:A,[1]BASE_PROGRAMAÇÃO!L:L,"")</f>
        <v>TRATOS CULTURAIS</v>
      </c>
      <c r="H37" t="str">
        <f>_xlfn.XLOOKUP(Tabela3[[#This Row],[ORDEM]],[2]S_POST!$C:$C,[2]S_POST!$AG:$AG,"")</f>
        <v xml:space="preserve"> 310000014</v>
      </c>
      <c r="I37" t="str">
        <f>_xlfn.XLOOKUP(Tabela3[[#This Row],[ORDEM]],[1]BASE_PROGRAMAÇÃO!A:A,[1]BASE_PROGRAMAÇÃO!$E:$E,"")</f>
        <v>Primária</v>
      </c>
      <c r="J37" t="str">
        <f>_xlfn.XLOOKUP(Tabela3[[#This Row],[ORDEM]],[1]ENCERRADAS!A:A,[1]ENCERRADAS!B:B,"")</f>
        <v>P</v>
      </c>
    </row>
    <row r="38" spans="1:10" x14ac:dyDescent="0.25">
      <c r="A38" t="str">
        <f>_xlfn.XLOOKUP(Tabela3[[#This Row],[ORDEM]],[1]BASE_PROGRAMAÇÃO!A:A,[1]BASE_PROGRAMAÇÃO!C:C,"")</f>
        <v>TRATORES</v>
      </c>
      <c r="B38">
        <f>_xlfn.XLOOKUP(Tabela3[[#This Row],[ORDEM]],[1]BASE_PROGRAMAÇÃO!A:A,[1]BASE_PROGRAMAÇÃO!B:B,"")</f>
        <v>13090020</v>
      </c>
      <c r="C38">
        <v>200375</v>
      </c>
      <c r="D38" t="str">
        <f>_xlfn.XLOOKUP(Tabela3[[#This Row],[Coluna3]],'[1]BASE DE PLANOS'!A:A,'[1]BASE DE PLANOS'!B:B,"")</f>
        <v>Primária</v>
      </c>
      <c r="E38" s="2">
        <f>_xlfn.XLOOKUP(Tabela3[[#This Row],[ORDEM]],[1]BASE_PROGRAMAÇÃO!A:A,[1]BASE_PROGRAMAÇÃO!D:D,"")</f>
        <v>46116</v>
      </c>
      <c r="F38" s="2" t="str">
        <f>_xlfn.XLOOKUP(Tabela3[[#This Row],[ORDEM]],[1]BASE_PROGRAMAÇÃO!A:A,[1]BASE_PROGRAMAÇÃO!O:O,"")</f>
        <v>CAMPO</v>
      </c>
      <c r="G38" s="2" t="str">
        <f>_xlfn.XLOOKUP(Tabela3[[#This Row],[ORDEM]],[1]BASE_PROGRAMAÇÃO!A:A,[1]BASE_PROGRAMAÇÃO!L:L,"")</f>
        <v>TRATOS CULTURAIS</v>
      </c>
      <c r="H38" t="str">
        <f>_xlfn.XLOOKUP(Tabela3[[#This Row],[ORDEM]],[2]S_POST!$C:$C,[2]S_POST!$AG:$AG,"")</f>
        <v xml:space="preserve"> 310000014</v>
      </c>
      <c r="I38" t="str">
        <f>_xlfn.XLOOKUP(Tabela3[[#This Row],[ORDEM]],[1]BASE_PROGRAMAÇÃO!A:A,[1]BASE_PROGRAMAÇÃO!$E:$E,"")</f>
        <v>Primária</v>
      </c>
      <c r="J38" t="str">
        <f>_xlfn.XLOOKUP(Tabela3[[#This Row],[ORDEM]],[1]ENCERRADAS!A:A,[1]ENCERRADAS!B:B,"")</f>
        <v>P</v>
      </c>
    </row>
    <row r="39" spans="1:10" x14ac:dyDescent="0.25">
      <c r="A39" t="str">
        <f>_xlfn.XLOOKUP(Tabela3[[#This Row],[ORDEM]],[1]BASE_PROGRAMAÇÃO!A:A,[1]BASE_PROGRAMAÇÃO!C:C,"")</f>
        <v>TRATORES</v>
      </c>
      <c r="B39">
        <f>_xlfn.XLOOKUP(Tabela3[[#This Row],[ORDEM]],[1]BASE_PROGRAMAÇÃO!A:A,[1]BASE_PROGRAMAÇÃO!B:B,"")</f>
        <v>13090009</v>
      </c>
      <c r="C39">
        <v>200374</v>
      </c>
      <c r="D39" t="str">
        <f>_xlfn.XLOOKUP(Tabela3[[#This Row],[Coluna3]],'[1]BASE DE PLANOS'!A:A,'[1]BASE DE PLANOS'!B:B,"")</f>
        <v>Primária</v>
      </c>
      <c r="E39" s="2">
        <f>_xlfn.XLOOKUP(Tabela3[[#This Row],[ORDEM]],[1]BASE_PROGRAMAÇÃO!A:A,[1]BASE_PROGRAMAÇÃO!D:D,"")</f>
        <v>46116</v>
      </c>
      <c r="F39" s="2" t="str">
        <f>_xlfn.XLOOKUP(Tabela3[[#This Row],[ORDEM]],[1]BASE_PROGRAMAÇÃO!A:A,[1]BASE_PROGRAMAÇÃO!O:O,"")</f>
        <v>CAMPO</v>
      </c>
      <c r="G39" s="2" t="str">
        <f>_xlfn.XLOOKUP(Tabela3[[#This Row],[ORDEM]],[1]BASE_PROGRAMAÇÃO!A:A,[1]BASE_PROGRAMAÇÃO!L:L,"")</f>
        <v>TRATOS CULTURAIS</v>
      </c>
      <c r="H39" t="str">
        <f>_xlfn.XLOOKUP(Tabela3[[#This Row],[ORDEM]],[2]S_POST!$C:$C,[2]S_POST!$AG:$AG,"")</f>
        <v xml:space="preserve"> 310000014</v>
      </c>
      <c r="I39" t="str">
        <f>_xlfn.XLOOKUP(Tabela3[[#This Row],[ORDEM]],[1]BASE_PROGRAMAÇÃO!A:A,[1]BASE_PROGRAMAÇÃO!$E:$E,"")</f>
        <v>Primária</v>
      </c>
      <c r="J39" t="str">
        <f>_xlfn.XLOOKUP(Tabela3[[#This Row],[ORDEM]],[1]ENCERRADAS!A:A,[1]ENCERRADAS!B:B,"")</f>
        <v>P</v>
      </c>
    </row>
    <row r="40" spans="1:10" x14ac:dyDescent="0.25">
      <c r="A40" t="str">
        <f>_xlfn.XLOOKUP(Tabela3[[#This Row],[ORDEM]],[1]BASE_PROGRAMAÇÃO!A:A,[1]BASE_PROGRAMAÇÃO!C:C,"")</f>
        <v>IMPLEMENTOS AGRICOLAS</v>
      </c>
      <c r="B40">
        <f>_xlfn.XLOOKUP(Tabela3[[#This Row],[ORDEM]],[1]BASE_PROGRAMAÇÃO!A:A,[1]BASE_PROGRAMAÇÃO!B:B,"")</f>
        <v>15020014</v>
      </c>
      <c r="C40">
        <v>200373</v>
      </c>
      <c r="D40" t="str">
        <f>_xlfn.XLOOKUP(Tabela3[[#This Row],[Coluna3]],'[1]BASE DE PLANOS'!A:A,'[1]BASE DE PLANOS'!B:B,"")</f>
        <v>Primária</v>
      </c>
      <c r="E40" s="2">
        <f>_xlfn.XLOOKUP(Tabela3[[#This Row],[ORDEM]],[1]BASE_PROGRAMAÇÃO!A:A,[1]BASE_PROGRAMAÇÃO!D:D,"")</f>
        <v>46112</v>
      </c>
      <c r="F40" s="2" t="str">
        <f>_xlfn.XLOOKUP(Tabela3[[#This Row],[ORDEM]],[1]BASE_PROGRAMAÇÃO!A:A,[1]BASE_PROGRAMAÇÃO!O:O,"")</f>
        <v>CAMPO</v>
      </c>
      <c r="G40" s="2" t="str">
        <f>_xlfn.XLOOKUP(Tabela3[[#This Row],[ORDEM]],[1]BASE_PROGRAMAÇÃO!A:A,[1]BASE_PROGRAMAÇÃO!L:L,"")</f>
        <v>PREPARO</v>
      </c>
      <c r="H40" t="str">
        <f>_xlfn.XLOOKUP(Tabela3[[#This Row],[ORDEM]],[2]S_POST!$C:$C,[2]S_POST!$AG:$AG,"")</f>
        <v xml:space="preserve"> 310000014</v>
      </c>
      <c r="I40" t="str">
        <f>_xlfn.XLOOKUP(Tabela3[[#This Row],[ORDEM]],[1]BASE_PROGRAMAÇÃO!A:A,[1]BASE_PROGRAMAÇÃO!$E:$E,"")</f>
        <v>Primária</v>
      </c>
      <c r="J40" t="str">
        <f>_xlfn.XLOOKUP(Tabela3[[#This Row],[ORDEM]],[1]ENCERRADAS!A:A,[1]ENCERRADAS!B:B,"")</f>
        <v>P</v>
      </c>
    </row>
    <row r="41" spans="1:10" x14ac:dyDescent="0.25">
      <c r="A41" t="str">
        <f>_xlfn.XLOOKUP(Tabela3[[#This Row],[ORDEM]],[1]BASE_PROGRAMAÇÃO!A:A,[1]BASE_PROGRAMAÇÃO!C:C,"")</f>
        <v>IMPLEMENTOS AGRICOLAS</v>
      </c>
      <c r="B41">
        <f>_xlfn.XLOOKUP(Tabela3[[#This Row],[ORDEM]],[1]BASE_PROGRAMAÇÃO!A:A,[1]BASE_PROGRAMAÇÃO!B:B,"")</f>
        <v>15020009</v>
      </c>
      <c r="C41">
        <v>200372</v>
      </c>
      <c r="D41" t="str">
        <f>_xlfn.XLOOKUP(Tabela3[[#This Row],[Coluna3]],'[1]BASE DE PLANOS'!A:A,'[1]BASE DE PLANOS'!B:B,"")</f>
        <v>Primária</v>
      </c>
      <c r="E41" s="2">
        <f>_xlfn.XLOOKUP(Tabela3[[#This Row],[ORDEM]],[1]BASE_PROGRAMAÇÃO!A:A,[1]BASE_PROGRAMAÇÃO!D:D,"")</f>
        <v>46112</v>
      </c>
      <c r="F41" s="2" t="str">
        <f>_xlfn.XLOOKUP(Tabela3[[#This Row],[ORDEM]],[1]BASE_PROGRAMAÇÃO!A:A,[1]BASE_PROGRAMAÇÃO!O:O,"")</f>
        <v>CAMPO</v>
      </c>
      <c r="G41" s="2" t="str">
        <f>_xlfn.XLOOKUP(Tabela3[[#This Row],[ORDEM]],[1]BASE_PROGRAMAÇÃO!A:A,[1]BASE_PROGRAMAÇÃO!L:L,"")</f>
        <v>PREPARO</v>
      </c>
      <c r="H41" t="str">
        <f>_xlfn.XLOOKUP(Tabela3[[#This Row],[ORDEM]],[2]S_POST!$C:$C,[2]S_POST!$AG:$AG,"")</f>
        <v xml:space="preserve"> 310000014</v>
      </c>
      <c r="I41" t="str">
        <f>_xlfn.XLOOKUP(Tabela3[[#This Row],[ORDEM]],[1]BASE_PROGRAMAÇÃO!A:A,[1]BASE_PROGRAMAÇÃO!$E:$E,"")</f>
        <v>Primária</v>
      </c>
      <c r="J41" t="str">
        <f>_xlfn.XLOOKUP(Tabela3[[#This Row],[ORDEM]],[1]ENCERRADAS!A:A,[1]ENCERRADAS!B:B,"")</f>
        <v>P</v>
      </c>
    </row>
    <row r="42" spans="1:10" x14ac:dyDescent="0.25">
      <c r="A42" t="str">
        <f>_xlfn.XLOOKUP(Tabela3[[#This Row],[ORDEM]],[1]BASE_PROGRAMAÇÃO!A:A,[1]BASE_PROGRAMAÇÃO!C:C,"")</f>
        <v>MAQUINAS PESADAS</v>
      </c>
      <c r="B42">
        <f>_xlfn.XLOOKUP(Tabela3[[#This Row],[ORDEM]],[1]BASE_PROGRAMAÇÃO!A:A,[1]BASE_PROGRAMAÇÃO!B:B,"")</f>
        <v>13040060</v>
      </c>
      <c r="C42">
        <v>200371</v>
      </c>
      <c r="D42" t="str">
        <f>_xlfn.XLOOKUP(Tabela3[[#This Row],[Coluna3]],'[1]BASE DE PLANOS'!A:A,'[1]BASE DE PLANOS'!B:B,"")</f>
        <v>Primária</v>
      </c>
      <c r="E42" s="2">
        <f>_xlfn.XLOOKUP(Tabela3[[#This Row],[ORDEM]],[1]BASE_PROGRAMAÇÃO!A:A,[1]BASE_PROGRAMAÇÃO!D:D,"")</f>
        <v>46114</v>
      </c>
      <c r="F42" s="2" t="str">
        <f>_xlfn.XLOOKUP(Tabela3[[#This Row],[ORDEM]],[1]BASE_PROGRAMAÇÃO!A:A,[1]BASE_PROGRAMAÇÃO!O:O,"")</f>
        <v>CAMPO</v>
      </c>
      <c r="G42" s="2" t="str">
        <f>_xlfn.XLOOKUP(Tabela3[[#This Row],[ORDEM]],[1]BASE_PROGRAMAÇÃO!A:A,[1]BASE_PROGRAMAÇÃO!L:L,"")</f>
        <v>PREPARO</v>
      </c>
      <c r="H42" t="str">
        <f>_xlfn.XLOOKUP(Tabela3[[#This Row],[ORDEM]],[2]S_POST!$C:$C,[2]S_POST!$AG:$AG,"")</f>
        <v xml:space="preserve"> 310000014</v>
      </c>
      <c r="I42" t="str">
        <f>_xlfn.XLOOKUP(Tabela3[[#This Row],[ORDEM]],[1]BASE_PROGRAMAÇÃO!A:A,[1]BASE_PROGRAMAÇÃO!$E:$E,"")</f>
        <v>Primária</v>
      </c>
      <c r="J42" t="str">
        <f>_xlfn.XLOOKUP(Tabela3[[#This Row],[ORDEM]],[1]ENCERRADAS!A:A,[1]ENCERRADAS!B:B,"")</f>
        <v>P</v>
      </c>
    </row>
    <row r="43" spans="1:10" x14ac:dyDescent="0.25">
      <c r="A43" t="str">
        <f>_xlfn.XLOOKUP(Tabela3[[#This Row],[ORDEM]],[1]BASE_PROGRAMAÇÃO!A:A,[1]BASE_PROGRAMAÇÃO!C:C,"")</f>
        <v>MAQUINAS PESADAS</v>
      </c>
      <c r="B43">
        <f>_xlfn.XLOOKUP(Tabela3[[#This Row],[ORDEM]],[1]BASE_PROGRAMAÇÃO!A:A,[1]BASE_PROGRAMAÇÃO!B:B,"")</f>
        <v>13050133</v>
      </c>
      <c r="C43">
        <v>200370</v>
      </c>
      <c r="D43" t="str">
        <f>_xlfn.XLOOKUP(Tabela3[[#This Row],[Coluna3]],'[1]BASE DE PLANOS'!A:A,'[1]BASE DE PLANOS'!B:B,"")</f>
        <v>Primária</v>
      </c>
      <c r="E43" s="2">
        <f>_xlfn.XLOOKUP(Tabela3[[#This Row],[ORDEM]],[1]BASE_PROGRAMAÇÃO!A:A,[1]BASE_PROGRAMAÇÃO!D:D,"")</f>
        <v>46114</v>
      </c>
      <c r="F43" s="2" t="str">
        <f>_xlfn.XLOOKUP(Tabela3[[#This Row],[ORDEM]],[1]BASE_PROGRAMAÇÃO!A:A,[1]BASE_PROGRAMAÇÃO!O:O,"")</f>
        <v>CAMPO</v>
      </c>
      <c r="G43" s="2" t="str">
        <f>_xlfn.XLOOKUP(Tabela3[[#This Row],[ORDEM]],[1]BASE_PROGRAMAÇÃO!A:A,[1]BASE_PROGRAMAÇÃO!L:L,"")</f>
        <v>PREPARO</v>
      </c>
      <c r="H43" t="str">
        <f>_xlfn.XLOOKUP(Tabela3[[#This Row],[ORDEM]],[2]S_POST!$C:$C,[2]S_POST!$AG:$AG,"")</f>
        <v xml:space="preserve"> 310000014</v>
      </c>
      <c r="I43" t="str">
        <f>_xlfn.XLOOKUP(Tabela3[[#This Row],[ORDEM]],[1]BASE_PROGRAMAÇÃO!A:A,[1]BASE_PROGRAMAÇÃO!$E:$E,"")</f>
        <v>Primária</v>
      </c>
      <c r="J43" t="str">
        <f>_xlfn.XLOOKUP(Tabela3[[#This Row],[ORDEM]],[1]ENCERRADAS!A:A,[1]ENCERRADAS!B:B,"")</f>
        <v>P</v>
      </c>
    </row>
    <row r="44" spans="1:10" x14ac:dyDescent="0.25">
      <c r="A44" t="str">
        <f>_xlfn.XLOOKUP(Tabela3[[#This Row],[ORDEM]],[1]BASE_PROGRAMAÇÃO!A:A,[1]BASE_PROGRAMAÇÃO!C:C,"")</f>
        <v>MAQUINAS PESADAS</v>
      </c>
      <c r="B44">
        <f>_xlfn.XLOOKUP(Tabela3[[#This Row],[ORDEM]],[1]BASE_PROGRAMAÇÃO!A:A,[1]BASE_PROGRAMAÇÃO!B:B,"")</f>
        <v>13040046</v>
      </c>
      <c r="C44">
        <v>200369</v>
      </c>
      <c r="D44" t="str">
        <f>_xlfn.XLOOKUP(Tabela3[[#This Row],[Coluna3]],'[1]BASE DE PLANOS'!A:A,'[1]BASE DE PLANOS'!B:B,"")</f>
        <v>Primária</v>
      </c>
      <c r="E44" s="2">
        <f>_xlfn.XLOOKUP(Tabela3[[#This Row],[ORDEM]],[1]BASE_PROGRAMAÇÃO!A:A,[1]BASE_PROGRAMAÇÃO!D:D,"")</f>
        <v>46115</v>
      </c>
      <c r="F44" s="2" t="str">
        <f>_xlfn.XLOOKUP(Tabela3[[#This Row],[ORDEM]],[1]BASE_PROGRAMAÇÃO!A:A,[1]BASE_PROGRAMAÇÃO!O:O,"")</f>
        <v>CAMPO</v>
      </c>
      <c r="G44" s="2" t="str">
        <f>_xlfn.XLOOKUP(Tabela3[[#This Row],[ORDEM]],[1]BASE_PROGRAMAÇÃO!A:A,[1]BASE_PROGRAMAÇÃO!L:L,"")</f>
        <v>PREPARO</v>
      </c>
      <c r="H44" t="str">
        <f>_xlfn.XLOOKUP(Tabela3[[#This Row],[ORDEM]],[2]S_POST!$C:$C,[2]S_POST!$AG:$AG,"")</f>
        <v xml:space="preserve"> 310000014</v>
      </c>
      <c r="I44" t="str">
        <f>_xlfn.XLOOKUP(Tabela3[[#This Row],[ORDEM]],[1]BASE_PROGRAMAÇÃO!A:A,[1]BASE_PROGRAMAÇÃO!$E:$E,"")</f>
        <v>Primária</v>
      </c>
      <c r="J44" t="str">
        <f>_xlfn.XLOOKUP(Tabela3[[#This Row],[ORDEM]],[1]ENCERRADAS!A:A,[1]ENCERRADAS!B:B,"")</f>
        <v>P</v>
      </c>
    </row>
    <row r="45" spans="1:10" x14ac:dyDescent="0.25">
      <c r="A45" t="str">
        <f>_xlfn.XLOOKUP(Tabela3[[#This Row],[ORDEM]],[1]BASE_PROGRAMAÇÃO!A:A,[1]BASE_PROGRAMAÇÃO!C:C,"")</f>
        <v>MAQUINAS PESADAS</v>
      </c>
      <c r="B45">
        <f>_xlfn.XLOOKUP(Tabela3[[#This Row],[ORDEM]],[1]BASE_PROGRAMAÇÃO!A:A,[1]BASE_PROGRAMAÇÃO!B:B,"")</f>
        <v>13040002</v>
      </c>
      <c r="C45">
        <v>200368</v>
      </c>
      <c r="D45" t="str">
        <f>_xlfn.XLOOKUP(Tabela3[[#This Row],[Coluna3]],'[1]BASE DE PLANOS'!A:A,'[1]BASE DE PLANOS'!B:B,"")</f>
        <v>Primária</v>
      </c>
      <c r="E45" s="2">
        <f>_xlfn.XLOOKUP(Tabela3[[#This Row],[ORDEM]],[1]BASE_PROGRAMAÇÃO!A:A,[1]BASE_PROGRAMAÇÃO!D:D,"")</f>
        <v>46112</v>
      </c>
      <c r="F45" s="2" t="str">
        <f>_xlfn.XLOOKUP(Tabela3[[#This Row],[ORDEM]],[1]BASE_PROGRAMAÇÃO!A:A,[1]BASE_PROGRAMAÇÃO!O:O,"")</f>
        <v>CAMPO</v>
      </c>
      <c r="G45" s="2" t="str">
        <f>_xlfn.XLOOKUP(Tabela3[[#This Row],[ORDEM]],[1]BASE_PROGRAMAÇÃO!A:A,[1]BASE_PROGRAMAÇÃO!L:L,"")</f>
        <v>PREPARO</v>
      </c>
      <c r="H45" t="str">
        <f>_xlfn.XLOOKUP(Tabela3[[#This Row],[ORDEM]],[2]S_POST!$C:$C,[2]S_POST!$AG:$AG,"")</f>
        <v xml:space="preserve"> 310000014</v>
      </c>
      <c r="I45" t="str">
        <f>_xlfn.XLOOKUP(Tabela3[[#This Row],[ORDEM]],[1]BASE_PROGRAMAÇÃO!A:A,[1]BASE_PROGRAMAÇÃO!$E:$E,"")</f>
        <v>Primária</v>
      </c>
      <c r="J45" t="str">
        <f>_xlfn.XLOOKUP(Tabela3[[#This Row],[ORDEM]],[1]ENCERRADAS!A:A,[1]ENCERRADAS!B:B,"")</f>
        <v>P</v>
      </c>
    </row>
    <row r="46" spans="1:10" x14ac:dyDescent="0.25">
      <c r="A46" t="str">
        <f>_xlfn.XLOOKUP(Tabela3[[#This Row],[ORDEM]],[1]BASE_PROGRAMAÇÃO!A:A,[1]BASE_PROGRAMAÇÃO!C:C,"")</f>
        <v>TRATORES</v>
      </c>
      <c r="B46">
        <f>_xlfn.XLOOKUP(Tabela3[[#This Row],[ORDEM]],[1]BASE_PROGRAMAÇÃO!A:A,[1]BASE_PROGRAMAÇÃO!B:B,"")</f>
        <v>13100475</v>
      </c>
      <c r="C46">
        <v>200367</v>
      </c>
      <c r="D46" t="str">
        <f>_xlfn.XLOOKUP(Tabela3[[#This Row],[Coluna3]],'[1]BASE DE PLANOS'!A:A,'[1]BASE DE PLANOS'!B:B,"")</f>
        <v>Primária</v>
      </c>
      <c r="E46" s="2">
        <f>_xlfn.XLOOKUP(Tabela3[[#This Row],[ORDEM]],[1]BASE_PROGRAMAÇÃO!A:A,[1]BASE_PROGRAMAÇÃO!D:D,"")</f>
        <v>46115</v>
      </c>
      <c r="F46" s="2" t="str">
        <f>_xlfn.XLOOKUP(Tabela3[[#This Row],[ORDEM]],[1]BASE_PROGRAMAÇÃO!A:A,[1]BASE_PROGRAMAÇÃO!O:O,"")</f>
        <v>CAMPO</v>
      </c>
      <c r="G46" s="2" t="str">
        <f>_xlfn.XLOOKUP(Tabela3[[#This Row],[ORDEM]],[1]BASE_PROGRAMAÇÃO!A:A,[1]BASE_PROGRAMAÇÃO!L:L,"")</f>
        <v>PREPARO</v>
      </c>
      <c r="H46" t="str">
        <f>_xlfn.XLOOKUP(Tabela3[[#This Row],[ORDEM]],[2]S_POST!$C:$C,[2]S_POST!$AG:$AG,"")</f>
        <v xml:space="preserve"> 310000014</v>
      </c>
      <c r="I46" t="str">
        <f>_xlfn.XLOOKUP(Tabela3[[#This Row],[ORDEM]],[1]BASE_PROGRAMAÇÃO!A:A,[1]BASE_PROGRAMAÇÃO!$E:$E,"")</f>
        <v>Primária</v>
      </c>
      <c r="J46" t="str">
        <f>_xlfn.XLOOKUP(Tabela3[[#This Row],[ORDEM]],[1]ENCERRADAS!A:A,[1]ENCERRADAS!B:B,"")</f>
        <v>P</v>
      </c>
    </row>
    <row r="47" spans="1:10" x14ac:dyDescent="0.25">
      <c r="A47" t="str">
        <f>_xlfn.XLOOKUP(Tabela3[[#This Row],[ORDEM]],[1]BASE_PROGRAMAÇÃO!A:A,[1]BASE_PROGRAMAÇÃO!C:C,"")</f>
        <v>TRATORES</v>
      </c>
      <c r="B47">
        <f>_xlfn.XLOOKUP(Tabela3[[#This Row],[ORDEM]],[1]BASE_PROGRAMAÇÃO!A:A,[1]BASE_PROGRAMAÇÃO!B:B,"")</f>
        <v>13100026</v>
      </c>
      <c r="C47">
        <v>200366</v>
      </c>
      <c r="D47" t="str">
        <f>_xlfn.XLOOKUP(Tabela3[[#This Row],[Coluna3]],'[1]BASE DE PLANOS'!A:A,'[1]BASE DE PLANOS'!B:B,"")</f>
        <v>Primária</v>
      </c>
      <c r="E47" s="2">
        <f>_xlfn.XLOOKUP(Tabela3[[#This Row],[ORDEM]],[1]BASE_PROGRAMAÇÃO!A:A,[1]BASE_PROGRAMAÇÃO!D:D,"")</f>
        <v>46115</v>
      </c>
      <c r="F47" s="2" t="str">
        <f>_xlfn.XLOOKUP(Tabela3[[#This Row],[ORDEM]],[1]BASE_PROGRAMAÇÃO!A:A,[1]BASE_PROGRAMAÇÃO!O:O,"")</f>
        <v>CAMPO</v>
      </c>
      <c r="G47" s="2" t="str">
        <f>_xlfn.XLOOKUP(Tabela3[[#This Row],[ORDEM]],[1]BASE_PROGRAMAÇÃO!A:A,[1]BASE_PROGRAMAÇÃO!L:L,"")</f>
        <v>PREPARO</v>
      </c>
      <c r="H47" t="str">
        <f>_xlfn.XLOOKUP(Tabela3[[#This Row],[ORDEM]],[2]S_POST!$C:$C,[2]S_POST!$AG:$AG,"")</f>
        <v xml:space="preserve"> 310000014</v>
      </c>
      <c r="I47" t="str">
        <f>_xlfn.XLOOKUP(Tabela3[[#This Row],[ORDEM]],[1]BASE_PROGRAMAÇÃO!A:A,[1]BASE_PROGRAMAÇÃO!$E:$E,"")</f>
        <v>Primária</v>
      </c>
      <c r="J47" t="str">
        <f>_xlfn.XLOOKUP(Tabela3[[#This Row],[ORDEM]],[1]ENCERRADAS!A:A,[1]ENCERRADAS!B:B,"")</f>
        <v>P</v>
      </c>
    </row>
    <row r="48" spans="1:10" x14ac:dyDescent="0.25">
      <c r="A48" t="str">
        <f>_xlfn.XLOOKUP(Tabela3[[#This Row],[ORDEM]],[1]BASE_PROGRAMAÇÃO!A:A,[1]BASE_PROGRAMAÇÃO!C:C,"")</f>
        <v>TRATORES</v>
      </c>
      <c r="B48">
        <f>_xlfn.XLOOKUP(Tabela3[[#This Row],[ORDEM]],[1]BASE_PROGRAMAÇÃO!A:A,[1]BASE_PROGRAMAÇÃO!B:B,"")</f>
        <v>13100021</v>
      </c>
      <c r="C48">
        <v>200365</v>
      </c>
      <c r="D48" t="str">
        <f>_xlfn.XLOOKUP(Tabela3[[#This Row],[Coluna3]],'[1]BASE DE PLANOS'!A:A,'[1]BASE DE PLANOS'!B:B,"")</f>
        <v>Primária</v>
      </c>
      <c r="E48" s="2">
        <f>_xlfn.XLOOKUP(Tabela3[[#This Row],[ORDEM]],[1]BASE_PROGRAMAÇÃO!A:A,[1]BASE_PROGRAMAÇÃO!D:D,"")</f>
        <v>46111</v>
      </c>
      <c r="F48" s="2" t="str">
        <f>_xlfn.XLOOKUP(Tabela3[[#This Row],[ORDEM]],[1]BASE_PROGRAMAÇÃO!A:A,[1]BASE_PROGRAMAÇÃO!O:O,"")</f>
        <v>CAMPO</v>
      </c>
      <c r="G48" s="2" t="str">
        <f>_xlfn.XLOOKUP(Tabela3[[#This Row],[ORDEM]],[1]BASE_PROGRAMAÇÃO!A:A,[1]BASE_PROGRAMAÇÃO!L:L,"")</f>
        <v>PREPARO</v>
      </c>
      <c r="H48" t="str">
        <f>_xlfn.XLOOKUP(Tabela3[[#This Row],[ORDEM]],[2]S_POST!$C:$C,[2]S_POST!$AG:$AG,"")</f>
        <v xml:space="preserve"> 310000014</v>
      </c>
      <c r="I48" t="str">
        <f>_xlfn.XLOOKUP(Tabela3[[#This Row],[ORDEM]],[1]BASE_PROGRAMAÇÃO!A:A,[1]BASE_PROGRAMAÇÃO!$E:$E,"")</f>
        <v>Primária</v>
      </c>
      <c r="J48" t="str">
        <f>_xlfn.XLOOKUP(Tabela3[[#This Row],[ORDEM]],[1]ENCERRADAS!A:A,[1]ENCERRADAS!B:B,"")</f>
        <v>P</v>
      </c>
    </row>
    <row r="49" spans="1:10" x14ac:dyDescent="0.25">
      <c r="A49" t="str">
        <f>_xlfn.XLOOKUP(Tabela3[[#This Row],[ORDEM]],[1]BASE_PROGRAMAÇÃO!A:A,[1]BASE_PROGRAMAÇÃO!C:C,"")</f>
        <v>TRATORES</v>
      </c>
      <c r="B49">
        <f>_xlfn.XLOOKUP(Tabela3[[#This Row],[ORDEM]],[1]BASE_PROGRAMAÇÃO!A:A,[1]BASE_PROGRAMAÇÃO!B:B,"")</f>
        <v>13100012</v>
      </c>
      <c r="C49">
        <v>200364</v>
      </c>
      <c r="D49" t="str">
        <f>_xlfn.XLOOKUP(Tabela3[[#This Row],[Coluna3]],'[1]BASE DE PLANOS'!A:A,'[1]BASE DE PLANOS'!B:B,"")</f>
        <v>Primária</v>
      </c>
      <c r="E49" s="2">
        <f>_xlfn.XLOOKUP(Tabela3[[#This Row],[ORDEM]],[1]BASE_PROGRAMAÇÃO!A:A,[1]BASE_PROGRAMAÇÃO!D:D,"")</f>
        <v>46112</v>
      </c>
      <c r="F49" s="2" t="str">
        <f>_xlfn.XLOOKUP(Tabela3[[#This Row],[ORDEM]],[1]BASE_PROGRAMAÇÃO!A:A,[1]BASE_PROGRAMAÇÃO!O:O,"")</f>
        <v>CAMPO</v>
      </c>
      <c r="G49" s="2" t="str">
        <f>_xlfn.XLOOKUP(Tabela3[[#This Row],[ORDEM]],[1]BASE_PROGRAMAÇÃO!A:A,[1]BASE_PROGRAMAÇÃO!L:L,"")</f>
        <v>PREPARO</v>
      </c>
      <c r="H49" t="str">
        <f>_xlfn.XLOOKUP(Tabela3[[#This Row],[ORDEM]],[2]S_POST!$C:$C,[2]S_POST!$AG:$AG,"")</f>
        <v xml:space="preserve"> 310000014</v>
      </c>
      <c r="I49" t="str">
        <f>_xlfn.XLOOKUP(Tabela3[[#This Row],[ORDEM]],[1]BASE_PROGRAMAÇÃO!A:A,[1]BASE_PROGRAMAÇÃO!$E:$E,"")</f>
        <v>Primária</v>
      </c>
      <c r="J49" t="str">
        <f>_xlfn.XLOOKUP(Tabela3[[#This Row],[ORDEM]],[1]ENCERRADAS!A:A,[1]ENCERRADAS!B:B,"")</f>
        <v>P</v>
      </c>
    </row>
    <row r="50" spans="1:10" x14ac:dyDescent="0.25">
      <c r="A50" t="str">
        <f>_xlfn.XLOOKUP(Tabela3[[#This Row],[ORDEM]],[1]BASE_PROGRAMAÇÃO!A:A,[1]BASE_PROGRAMAÇÃO!C:C,"")</f>
        <v>TRATORES</v>
      </c>
      <c r="B50">
        <f>_xlfn.XLOOKUP(Tabela3[[#This Row],[ORDEM]],[1]BASE_PROGRAMAÇÃO!A:A,[1]BASE_PROGRAMAÇÃO!B:B,"")</f>
        <v>13090024</v>
      </c>
      <c r="C50">
        <v>200363</v>
      </c>
      <c r="D50" t="str">
        <f>_xlfn.XLOOKUP(Tabela3[[#This Row],[Coluna3]],'[1]BASE DE PLANOS'!A:A,'[1]BASE DE PLANOS'!B:B,"")</f>
        <v>Primária</v>
      </c>
      <c r="E50" s="2">
        <f>_xlfn.XLOOKUP(Tabela3[[#This Row],[ORDEM]],[1]BASE_PROGRAMAÇÃO!A:A,[1]BASE_PROGRAMAÇÃO!D:D,"")</f>
        <v>46113</v>
      </c>
      <c r="F50" s="2" t="str">
        <f>_xlfn.XLOOKUP(Tabela3[[#This Row],[ORDEM]],[1]BASE_PROGRAMAÇÃO!A:A,[1]BASE_PROGRAMAÇÃO!O:O,"")</f>
        <v>CAMPO</v>
      </c>
      <c r="G50" s="2" t="str">
        <f>_xlfn.XLOOKUP(Tabela3[[#This Row],[ORDEM]],[1]BASE_PROGRAMAÇÃO!A:A,[1]BASE_PROGRAMAÇÃO!L:L,"")</f>
        <v>PREPARO</v>
      </c>
      <c r="H50" t="str">
        <f>_xlfn.XLOOKUP(Tabela3[[#This Row],[ORDEM]],[2]S_POST!$C:$C,[2]S_POST!$AG:$AG,"")</f>
        <v xml:space="preserve"> 310000014</v>
      </c>
      <c r="I50" t="str">
        <f>_xlfn.XLOOKUP(Tabela3[[#This Row],[ORDEM]],[1]BASE_PROGRAMAÇÃO!A:A,[1]BASE_PROGRAMAÇÃO!$E:$E,"")</f>
        <v>Primária</v>
      </c>
      <c r="J50" t="str">
        <f>_xlfn.XLOOKUP(Tabela3[[#This Row],[ORDEM]],[1]ENCERRADAS!A:A,[1]ENCERRADAS!B:B,"")</f>
        <v>P</v>
      </c>
    </row>
    <row r="51" spans="1:10" x14ac:dyDescent="0.25">
      <c r="A51" t="str">
        <f>_xlfn.XLOOKUP(Tabela3[[#This Row],[ORDEM]],[1]BASE_PROGRAMAÇÃO!A:A,[1]BASE_PROGRAMAÇÃO!C:C,"")</f>
        <v>IMPLEMENTOS RODOVIARIOS</v>
      </c>
      <c r="B51">
        <f>_xlfn.XLOOKUP(Tabela3[[#This Row],[ORDEM]],[1]BASE_PROGRAMAÇÃO!A:A,[1]BASE_PROGRAMAÇÃO!B:B,"")</f>
        <v>16210009</v>
      </c>
      <c r="C51">
        <v>200362</v>
      </c>
      <c r="D51" t="str">
        <f>_xlfn.XLOOKUP(Tabela3[[#This Row],[Coluna3]],'[1]BASE DE PLANOS'!A:A,'[1]BASE DE PLANOS'!B:B,"")</f>
        <v>Primária</v>
      </c>
      <c r="E51" s="2">
        <f>_xlfn.XLOOKUP(Tabela3[[#This Row],[ORDEM]],[1]BASE_PROGRAMAÇÃO!A:A,[1]BASE_PROGRAMAÇÃO!D:D,"")</f>
        <v>46114</v>
      </c>
      <c r="F51" s="2" t="str">
        <f>_xlfn.XLOOKUP(Tabela3[[#This Row],[ORDEM]],[1]BASE_PROGRAMAÇÃO!A:A,[1]BASE_PROGRAMAÇÃO!O:O,"")</f>
        <v>INTERNA</v>
      </c>
      <c r="G51" s="2" t="str">
        <f>_xlfn.XLOOKUP(Tabela3[[#This Row],[ORDEM]],[1]BASE_PROGRAMAÇÃO!A:A,[1]BASE_PROGRAMAÇÃO!L:L,"")</f>
        <v>PLANTIO</v>
      </c>
      <c r="H51" t="str">
        <f>_xlfn.XLOOKUP(Tabela3[[#This Row],[ORDEM]],[2]S_POST!$C:$C,[2]S_POST!$AG:$AG,"")</f>
        <v xml:space="preserve"> 310000014</v>
      </c>
      <c r="I51" t="str">
        <f>_xlfn.XLOOKUP(Tabela3[[#This Row],[ORDEM]],[1]BASE_PROGRAMAÇÃO!A:A,[1]BASE_PROGRAMAÇÃO!$E:$E,"")</f>
        <v>Primária</v>
      </c>
      <c r="J51" t="str">
        <f>_xlfn.XLOOKUP(Tabela3[[#This Row],[ORDEM]],[1]ENCERRADAS!A:A,[1]ENCERRADAS!B:B,"")</f>
        <v>P</v>
      </c>
    </row>
    <row r="52" spans="1:10" x14ac:dyDescent="0.25">
      <c r="A52" t="str">
        <f>_xlfn.XLOOKUP(Tabela3[[#This Row],[ORDEM]],[1]BASE_PROGRAMAÇÃO!A:A,[1]BASE_PROGRAMAÇÃO!C:C,"")</f>
        <v>IMPLEMENTOS AGRICOLAS</v>
      </c>
      <c r="B52">
        <f>_xlfn.XLOOKUP(Tabela3[[#This Row],[ORDEM]],[1]BASE_PROGRAMAÇÃO!A:A,[1]BASE_PROGRAMAÇÃO!B:B,"")</f>
        <v>15220600</v>
      </c>
      <c r="C52">
        <v>200361</v>
      </c>
      <c r="D52" t="str">
        <f>_xlfn.XLOOKUP(Tabela3[[#This Row],[Coluna3]],'[1]BASE DE PLANOS'!A:A,'[1]BASE DE PLANOS'!B:B,"")</f>
        <v>Primária</v>
      </c>
      <c r="E52" s="2">
        <f>_xlfn.XLOOKUP(Tabela3[[#This Row],[ORDEM]],[1]BASE_PROGRAMAÇÃO!A:A,[1]BASE_PROGRAMAÇÃO!D:D,"")</f>
        <v>46112</v>
      </c>
      <c r="F52" s="2" t="str">
        <f>_xlfn.XLOOKUP(Tabela3[[#This Row],[ORDEM]],[1]BASE_PROGRAMAÇÃO!A:A,[1]BASE_PROGRAMAÇÃO!O:O,"")</f>
        <v>CAMPO</v>
      </c>
      <c r="G52" s="2" t="str">
        <f>_xlfn.XLOOKUP(Tabela3[[#This Row],[ORDEM]],[1]BASE_PROGRAMAÇÃO!A:A,[1]BASE_PROGRAMAÇÃO!L:L,"")</f>
        <v>PLANTIO</v>
      </c>
      <c r="H52" t="str">
        <f>_xlfn.XLOOKUP(Tabela3[[#This Row],[ORDEM]],[2]S_POST!$C:$C,[2]S_POST!$AG:$AG,"")</f>
        <v xml:space="preserve"> 310000014</v>
      </c>
      <c r="I52" t="str">
        <f>_xlfn.XLOOKUP(Tabela3[[#This Row],[ORDEM]],[1]BASE_PROGRAMAÇÃO!A:A,[1]BASE_PROGRAMAÇÃO!$E:$E,"")</f>
        <v>Primária</v>
      </c>
      <c r="J52" t="str">
        <f>_xlfn.XLOOKUP(Tabela3[[#This Row],[ORDEM]],[1]ENCERRADAS!A:A,[1]ENCERRADAS!B:B,"")</f>
        <v>P</v>
      </c>
    </row>
    <row r="53" spans="1:10" x14ac:dyDescent="0.25">
      <c r="A53" t="str">
        <f>_xlfn.XLOOKUP(Tabela3[[#This Row],[ORDEM]],[1]BASE_PROGRAMAÇÃO!A:A,[1]BASE_PROGRAMAÇÃO!C:C,"")</f>
        <v>IMPLEMENTOS AGRICOLAS</v>
      </c>
      <c r="B53">
        <f>_xlfn.XLOOKUP(Tabela3[[#This Row],[ORDEM]],[1]BASE_PROGRAMAÇÃO!A:A,[1]BASE_PROGRAMAÇÃO!B:B,"")</f>
        <v>15220599</v>
      </c>
      <c r="C53">
        <v>200360</v>
      </c>
      <c r="D53" t="str">
        <f>_xlfn.XLOOKUP(Tabela3[[#This Row],[Coluna3]],'[1]BASE DE PLANOS'!A:A,'[1]BASE DE PLANOS'!B:B,"")</f>
        <v>Primária</v>
      </c>
      <c r="E53" s="2">
        <f>_xlfn.XLOOKUP(Tabela3[[#This Row],[ORDEM]],[1]BASE_PROGRAMAÇÃO!A:A,[1]BASE_PROGRAMAÇÃO!D:D,"")</f>
        <v>46111</v>
      </c>
      <c r="F53" s="2" t="str">
        <f>_xlfn.XLOOKUP(Tabela3[[#This Row],[ORDEM]],[1]BASE_PROGRAMAÇÃO!A:A,[1]BASE_PROGRAMAÇÃO!O:O,"")</f>
        <v>CAMPO</v>
      </c>
      <c r="G53" s="2" t="str">
        <f>_xlfn.XLOOKUP(Tabela3[[#This Row],[ORDEM]],[1]BASE_PROGRAMAÇÃO!A:A,[1]BASE_PROGRAMAÇÃO!L:L,"")</f>
        <v>PLANTIO</v>
      </c>
      <c r="H53" t="str">
        <f>_xlfn.XLOOKUP(Tabela3[[#This Row],[ORDEM]],[2]S_POST!$C:$C,[2]S_POST!$AG:$AG,"")</f>
        <v xml:space="preserve"> 310000014</v>
      </c>
      <c r="I53" t="str">
        <f>_xlfn.XLOOKUP(Tabela3[[#This Row],[ORDEM]],[1]BASE_PROGRAMAÇÃO!A:A,[1]BASE_PROGRAMAÇÃO!$E:$E,"")</f>
        <v>Primária</v>
      </c>
      <c r="J53" t="str">
        <f>_xlfn.XLOOKUP(Tabela3[[#This Row],[ORDEM]],[1]ENCERRADAS!A:A,[1]ENCERRADAS!B:B,"")</f>
        <v>P</v>
      </c>
    </row>
    <row r="54" spans="1:10" x14ac:dyDescent="0.25">
      <c r="A54" t="str">
        <f>_xlfn.XLOOKUP(Tabela3[[#This Row],[ORDEM]],[1]BASE_PROGRAMAÇÃO!A:A,[1]BASE_PROGRAMAÇÃO!C:C,"")</f>
        <v>IMPLEMENTOS AGRICOLAS</v>
      </c>
      <c r="B54">
        <f>_xlfn.XLOOKUP(Tabela3[[#This Row],[ORDEM]],[1]BASE_PROGRAMAÇÃO!A:A,[1]BASE_PROGRAMAÇÃO!B:B,"")</f>
        <v>15150003</v>
      </c>
      <c r="C54">
        <v>200359</v>
      </c>
      <c r="D54" t="str">
        <f>_xlfn.XLOOKUP(Tabela3[[#This Row],[Coluna3]],'[1]BASE DE PLANOS'!A:A,'[1]BASE DE PLANOS'!B:B,"")</f>
        <v>Primária</v>
      </c>
      <c r="E54" s="2">
        <f>_xlfn.XLOOKUP(Tabela3[[#This Row],[ORDEM]],[1]BASE_PROGRAMAÇÃO!A:A,[1]BASE_PROGRAMAÇÃO!D:D,"")</f>
        <v>46114</v>
      </c>
      <c r="F54" s="2" t="str">
        <f>_xlfn.XLOOKUP(Tabela3[[#This Row],[ORDEM]],[1]BASE_PROGRAMAÇÃO!A:A,[1]BASE_PROGRAMAÇÃO!O:O,"")</f>
        <v>CAMPO</v>
      </c>
      <c r="G54" s="2" t="str">
        <f>_xlfn.XLOOKUP(Tabela3[[#This Row],[ORDEM]],[1]BASE_PROGRAMAÇÃO!A:A,[1]BASE_PROGRAMAÇÃO!L:L,"")</f>
        <v>PLANTIO</v>
      </c>
      <c r="H54" t="str">
        <f>_xlfn.XLOOKUP(Tabela3[[#This Row],[ORDEM]],[2]S_POST!$C:$C,[2]S_POST!$AG:$AG,"")</f>
        <v xml:space="preserve"> 310000014</v>
      </c>
      <c r="I54" t="str">
        <f>_xlfn.XLOOKUP(Tabela3[[#This Row],[ORDEM]],[1]BASE_PROGRAMAÇÃO!A:A,[1]BASE_PROGRAMAÇÃO!$E:$E,"")</f>
        <v>Primária</v>
      </c>
      <c r="J54" t="str">
        <f>_xlfn.XLOOKUP(Tabela3[[#This Row],[ORDEM]],[1]ENCERRADAS!A:A,[1]ENCERRADAS!B:B,"")</f>
        <v>P</v>
      </c>
    </row>
    <row r="55" spans="1:10" x14ac:dyDescent="0.25">
      <c r="A55" t="str">
        <f>_xlfn.XLOOKUP(Tabela3[[#This Row],[ORDEM]],[1]BASE_PROGRAMAÇÃO!A:A,[1]BASE_PROGRAMAÇÃO!C:C,"")</f>
        <v>IMPLEMENTOS AGRICOLAS</v>
      </c>
      <c r="B55">
        <f>_xlfn.XLOOKUP(Tabela3[[#This Row],[ORDEM]],[1]BASE_PROGRAMAÇÃO!A:A,[1]BASE_PROGRAMAÇÃO!B:B,"")</f>
        <v>15220103</v>
      </c>
      <c r="C55">
        <v>200358</v>
      </c>
      <c r="D55" t="str">
        <f>_xlfn.XLOOKUP(Tabela3[[#This Row],[Coluna3]],'[1]BASE DE PLANOS'!A:A,'[1]BASE DE PLANOS'!B:B,"")</f>
        <v>Primária</v>
      </c>
      <c r="E55" s="2">
        <f>_xlfn.XLOOKUP(Tabela3[[#This Row],[ORDEM]],[1]BASE_PROGRAMAÇÃO!A:A,[1]BASE_PROGRAMAÇÃO!D:D,"")</f>
        <v>46113</v>
      </c>
      <c r="F55" s="2" t="str">
        <f>_xlfn.XLOOKUP(Tabela3[[#This Row],[ORDEM]],[1]BASE_PROGRAMAÇÃO!A:A,[1]BASE_PROGRAMAÇÃO!O:O,"")</f>
        <v>CAMPO</v>
      </c>
      <c r="G55" s="2" t="str">
        <f>_xlfn.XLOOKUP(Tabela3[[#This Row],[ORDEM]],[1]BASE_PROGRAMAÇÃO!A:A,[1]BASE_PROGRAMAÇÃO!L:L,"")</f>
        <v>PLANTIO</v>
      </c>
      <c r="H55" t="str">
        <f>_xlfn.XLOOKUP(Tabela3[[#This Row],[ORDEM]],[2]S_POST!$C:$C,[2]S_POST!$AG:$AG,"")</f>
        <v xml:space="preserve"> 310000014</v>
      </c>
      <c r="I55" t="str">
        <f>_xlfn.XLOOKUP(Tabela3[[#This Row],[ORDEM]],[1]BASE_PROGRAMAÇÃO!A:A,[1]BASE_PROGRAMAÇÃO!$E:$E,"")</f>
        <v>Primária</v>
      </c>
      <c r="J55" t="str">
        <f>_xlfn.XLOOKUP(Tabela3[[#This Row],[ORDEM]],[1]ENCERRADAS!A:A,[1]ENCERRADAS!B:B,"")</f>
        <v>P</v>
      </c>
    </row>
    <row r="56" spans="1:10" x14ac:dyDescent="0.25">
      <c r="A56" t="str">
        <f>_xlfn.XLOOKUP(Tabela3[[#This Row],[ORDEM]],[1]BASE_PROGRAMAÇÃO!A:A,[1]BASE_PROGRAMAÇÃO!C:C,"")</f>
        <v>IMPLEMENTOS AGRICOLAS</v>
      </c>
      <c r="B56">
        <f>_xlfn.XLOOKUP(Tabela3[[#This Row],[ORDEM]],[1]BASE_PROGRAMAÇÃO!A:A,[1]BASE_PROGRAMAÇÃO!B:B,"")</f>
        <v>15150002</v>
      </c>
      <c r="C56">
        <v>200357</v>
      </c>
      <c r="D56" t="str">
        <f>_xlfn.XLOOKUP(Tabela3[[#This Row],[Coluna3]],'[1]BASE DE PLANOS'!A:A,'[1]BASE DE PLANOS'!B:B,"")</f>
        <v>Primária</v>
      </c>
      <c r="E56" s="2">
        <f>_xlfn.XLOOKUP(Tabela3[[#This Row],[ORDEM]],[1]BASE_PROGRAMAÇÃO!A:A,[1]BASE_PROGRAMAÇÃO!D:D,"")</f>
        <v>46111</v>
      </c>
      <c r="F56" s="2" t="str">
        <f>_xlfn.XLOOKUP(Tabela3[[#This Row],[ORDEM]],[1]BASE_PROGRAMAÇÃO!A:A,[1]BASE_PROGRAMAÇÃO!O:O,"")</f>
        <v>CAMPO</v>
      </c>
      <c r="G56" s="2" t="str">
        <f>_xlfn.XLOOKUP(Tabela3[[#This Row],[ORDEM]],[1]BASE_PROGRAMAÇÃO!A:A,[1]BASE_PROGRAMAÇÃO!L:L,"")</f>
        <v>PLANTIO</v>
      </c>
      <c r="H56" t="str">
        <f>_xlfn.XLOOKUP(Tabela3[[#This Row],[ORDEM]],[2]S_POST!$C:$C,[2]S_POST!$AG:$AG,"")</f>
        <v xml:space="preserve"> 310000014</v>
      </c>
      <c r="I56" t="str">
        <f>_xlfn.XLOOKUP(Tabela3[[#This Row],[ORDEM]],[1]BASE_PROGRAMAÇÃO!A:A,[1]BASE_PROGRAMAÇÃO!$E:$E,"")</f>
        <v>Primária</v>
      </c>
      <c r="J56" t="str">
        <f>_xlfn.XLOOKUP(Tabela3[[#This Row],[ORDEM]],[1]ENCERRADAS!A:A,[1]ENCERRADAS!B:B,"")</f>
        <v>P</v>
      </c>
    </row>
    <row r="57" spans="1:10" x14ac:dyDescent="0.25">
      <c r="A57" t="str">
        <f>_xlfn.XLOOKUP(Tabela3[[#This Row],[ORDEM]],[1]BASE_PROGRAMAÇÃO!A:A,[1]BASE_PROGRAMAÇÃO!C:C,"")</f>
        <v>IMPLEMENTOS AGRICOLAS</v>
      </c>
      <c r="B57">
        <f>_xlfn.XLOOKUP(Tabela3[[#This Row],[ORDEM]],[1]BASE_PROGRAMAÇÃO!A:A,[1]BASE_PROGRAMAÇÃO!B:B,"")</f>
        <v>15150001</v>
      </c>
      <c r="C57">
        <v>200356</v>
      </c>
      <c r="D57" t="str">
        <f>_xlfn.XLOOKUP(Tabela3[[#This Row],[Coluna3]],'[1]BASE DE PLANOS'!A:A,'[1]BASE DE PLANOS'!B:B,"")</f>
        <v>Primária</v>
      </c>
      <c r="E57" s="2">
        <f>_xlfn.XLOOKUP(Tabela3[[#This Row],[ORDEM]],[1]BASE_PROGRAMAÇÃO!A:A,[1]BASE_PROGRAMAÇÃO!D:D,"")</f>
        <v>46112</v>
      </c>
      <c r="F57" s="2" t="str">
        <f>_xlfn.XLOOKUP(Tabela3[[#This Row],[ORDEM]],[1]BASE_PROGRAMAÇÃO!A:A,[1]BASE_PROGRAMAÇÃO!O:O,"")</f>
        <v>CAMPO</v>
      </c>
      <c r="G57" s="2" t="str">
        <f>_xlfn.XLOOKUP(Tabela3[[#This Row],[ORDEM]],[1]BASE_PROGRAMAÇÃO!A:A,[1]BASE_PROGRAMAÇÃO!L:L,"")</f>
        <v>PLANTIO</v>
      </c>
      <c r="H57" t="str">
        <f>_xlfn.XLOOKUP(Tabela3[[#This Row],[ORDEM]],[2]S_POST!$C:$C,[2]S_POST!$AG:$AG,"")</f>
        <v xml:space="preserve"> 310000014</v>
      </c>
      <c r="I57" t="str">
        <f>_xlfn.XLOOKUP(Tabela3[[#This Row],[ORDEM]],[1]BASE_PROGRAMAÇÃO!A:A,[1]BASE_PROGRAMAÇÃO!$E:$E,"")</f>
        <v>Primária</v>
      </c>
      <c r="J57" t="str">
        <f>_xlfn.XLOOKUP(Tabela3[[#This Row],[ORDEM]],[1]ENCERRADAS!A:A,[1]ENCERRADAS!B:B,"")</f>
        <v>P</v>
      </c>
    </row>
    <row r="58" spans="1:10" x14ac:dyDescent="0.25">
      <c r="A58" t="str">
        <f>_xlfn.XLOOKUP(Tabela3[[#This Row],[ORDEM]],[1]BASE_PROGRAMAÇÃO!A:A,[1]BASE_PROGRAMAÇÃO!C:C,"")</f>
        <v>CAMINHOES</v>
      </c>
      <c r="B58">
        <f>_xlfn.XLOOKUP(Tabela3[[#This Row],[ORDEM]],[1]BASE_PROGRAMAÇÃO!A:A,[1]BASE_PROGRAMAÇÃO!B:B,"")</f>
        <v>11140046</v>
      </c>
      <c r="C58">
        <v>200354</v>
      </c>
      <c r="D58" t="str">
        <f>_xlfn.XLOOKUP(Tabela3[[#This Row],[Coluna3]],'[1]BASE DE PLANOS'!A:A,'[1]BASE DE PLANOS'!B:B,"")</f>
        <v>Primária</v>
      </c>
      <c r="E58" s="2">
        <f>_xlfn.XLOOKUP(Tabela3[[#This Row],[ORDEM]],[1]BASE_PROGRAMAÇÃO!A:A,[1]BASE_PROGRAMAÇÃO!D:D,"")</f>
        <v>46116</v>
      </c>
      <c r="F58" s="2" t="str">
        <f>_xlfn.XLOOKUP(Tabela3[[#This Row],[ORDEM]],[1]BASE_PROGRAMAÇÃO!A:A,[1]BASE_PROGRAMAÇÃO!O:O,"")</f>
        <v>INTERNA</v>
      </c>
      <c r="G58" s="2" t="str">
        <f>_xlfn.XLOOKUP(Tabela3[[#This Row],[ORDEM]],[1]BASE_PROGRAMAÇÃO!A:A,[1]BASE_PROGRAMAÇÃO!L:L,"")</f>
        <v>PLANTIO</v>
      </c>
      <c r="H58" t="str">
        <f>_xlfn.XLOOKUP(Tabela3[[#This Row],[ORDEM]],[2]S_POST!$C:$C,[2]S_POST!$AG:$AG,"")</f>
        <v xml:space="preserve"> 310000014</v>
      </c>
      <c r="I58" t="str">
        <f>_xlfn.XLOOKUP(Tabela3[[#This Row],[ORDEM]],[1]BASE_PROGRAMAÇÃO!A:A,[1]BASE_PROGRAMAÇÃO!$E:$E,"")</f>
        <v>Primária</v>
      </c>
      <c r="J58" t="str">
        <f>_xlfn.XLOOKUP(Tabela3[[#This Row],[ORDEM]],[1]ENCERRADAS!A:A,[1]ENCERRADAS!B:B,"")</f>
        <v>P</v>
      </c>
    </row>
    <row r="59" spans="1:10" x14ac:dyDescent="0.25">
      <c r="A59" t="str">
        <f>_xlfn.XLOOKUP(Tabela3[[#This Row],[ORDEM]],[1]BASE_PROGRAMAÇÃO!A:A,[1]BASE_PROGRAMAÇÃO!C:C,"")</f>
        <v>CAMINHOES</v>
      </c>
      <c r="B59">
        <f>_xlfn.XLOOKUP(Tabela3[[#This Row],[ORDEM]],[1]BASE_PROGRAMAÇÃO!A:A,[1]BASE_PROGRAMAÇÃO!B:B,"")</f>
        <v>11140151</v>
      </c>
      <c r="C59">
        <v>200353</v>
      </c>
      <c r="D59" t="str">
        <f>_xlfn.XLOOKUP(Tabela3[[#This Row],[Coluna3]],'[1]BASE DE PLANOS'!A:A,'[1]BASE DE PLANOS'!B:B,"")</f>
        <v>Primária</v>
      </c>
      <c r="E59" s="2">
        <f>_xlfn.XLOOKUP(Tabela3[[#This Row],[ORDEM]],[1]BASE_PROGRAMAÇÃO!A:A,[1]BASE_PROGRAMAÇÃO!D:D,"")</f>
        <v>46114</v>
      </c>
      <c r="F59" s="2" t="str">
        <f>_xlfn.XLOOKUP(Tabela3[[#This Row],[ORDEM]],[1]BASE_PROGRAMAÇÃO!A:A,[1]BASE_PROGRAMAÇÃO!O:O,"")</f>
        <v>INTERNA</v>
      </c>
      <c r="G59" s="2" t="str">
        <f>_xlfn.XLOOKUP(Tabela3[[#This Row],[ORDEM]],[1]BASE_PROGRAMAÇÃO!A:A,[1]BASE_PROGRAMAÇÃO!L:L,"")</f>
        <v>PLANTIO</v>
      </c>
      <c r="H59" t="str">
        <f>_xlfn.XLOOKUP(Tabela3[[#This Row],[ORDEM]],[2]S_POST!$C:$C,[2]S_POST!$AG:$AG,"")</f>
        <v xml:space="preserve"> 310000014</v>
      </c>
      <c r="I59" t="str">
        <f>_xlfn.XLOOKUP(Tabela3[[#This Row],[ORDEM]],[1]BASE_PROGRAMAÇÃO!A:A,[1]BASE_PROGRAMAÇÃO!$E:$E,"")</f>
        <v>Primária</v>
      </c>
      <c r="J59" t="str">
        <f>_xlfn.XLOOKUP(Tabela3[[#This Row],[ORDEM]],[1]ENCERRADAS!A:A,[1]ENCERRADAS!B:B,"")</f>
        <v>P</v>
      </c>
    </row>
    <row r="60" spans="1:10" x14ac:dyDescent="0.25">
      <c r="A60" t="str">
        <f>_xlfn.XLOOKUP(Tabela3[[#This Row],[ORDEM]],[1]BASE_PROGRAMAÇÃO!A:A,[1]BASE_PROGRAMAÇÃO!C:C,"")</f>
        <v>CAMINHOES</v>
      </c>
      <c r="B60">
        <f>_xlfn.XLOOKUP(Tabela3[[#This Row],[ORDEM]],[1]BASE_PROGRAMAÇÃO!A:A,[1]BASE_PROGRAMAÇÃO!B:B,"")</f>
        <v>11140149</v>
      </c>
      <c r="C60">
        <v>200352</v>
      </c>
      <c r="D60" t="str">
        <f>_xlfn.XLOOKUP(Tabela3[[#This Row],[Coluna3]],'[1]BASE DE PLANOS'!A:A,'[1]BASE DE PLANOS'!B:B,"")</f>
        <v>Primária</v>
      </c>
      <c r="E60" s="2">
        <f>_xlfn.XLOOKUP(Tabela3[[#This Row],[ORDEM]],[1]BASE_PROGRAMAÇÃO!A:A,[1]BASE_PROGRAMAÇÃO!D:D,"")</f>
        <v>46115</v>
      </c>
      <c r="F60" s="2" t="str">
        <f>_xlfn.XLOOKUP(Tabela3[[#This Row],[ORDEM]],[1]BASE_PROGRAMAÇÃO!A:A,[1]BASE_PROGRAMAÇÃO!O:O,"")</f>
        <v>INTERNA</v>
      </c>
      <c r="G60" s="2" t="str">
        <f>_xlfn.XLOOKUP(Tabela3[[#This Row],[ORDEM]],[1]BASE_PROGRAMAÇÃO!A:A,[1]BASE_PROGRAMAÇÃO!L:L,"")</f>
        <v>PLANTIO</v>
      </c>
      <c r="H60" t="str">
        <f>_xlfn.XLOOKUP(Tabela3[[#This Row],[ORDEM]],[2]S_POST!$C:$C,[2]S_POST!$AG:$AG,"")</f>
        <v xml:space="preserve"> 310000014</v>
      </c>
      <c r="I60" t="str">
        <f>_xlfn.XLOOKUP(Tabela3[[#This Row],[ORDEM]],[1]BASE_PROGRAMAÇÃO!A:A,[1]BASE_PROGRAMAÇÃO!$E:$E,"")</f>
        <v>Primária</v>
      </c>
      <c r="J60" t="str">
        <f>_xlfn.XLOOKUP(Tabela3[[#This Row],[ORDEM]],[1]ENCERRADAS!A:A,[1]ENCERRADAS!B:B,"")</f>
        <v>P</v>
      </c>
    </row>
    <row r="61" spans="1:10" x14ac:dyDescent="0.25">
      <c r="A61" t="str">
        <f>_xlfn.XLOOKUP(Tabela3[[#This Row],[ORDEM]],[1]BASE_PROGRAMAÇÃO!A:A,[1]BASE_PROGRAMAÇÃO!C:C,"")</f>
        <v>CAMINHOES</v>
      </c>
      <c r="B61">
        <f>_xlfn.XLOOKUP(Tabela3[[#This Row],[ORDEM]],[1]BASE_PROGRAMAÇÃO!A:A,[1]BASE_PROGRAMAÇÃO!B:B,"")</f>
        <v>11120010</v>
      </c>
      <c r="C61">
        <v>200351</v>
      </c>
      <c r="D61" t="str">
        <f>_xlfn.XLOOKUP(Tabela3[[#This Row],[Coluna3]],'[1]BASE DE PLANOS'!A:A,'[1]BASE DE PLANOS'!B:B,"")</f>
        <v>Primária</v>
      </c>
      <c r="E61" s="2">
        <f>_xlfn.XLOOKUP(Tabela3[[#This Row],[ORDEM]],[1]BASE_PROGRAMAÇÃO!A:A,[1]BASE_PROGRAMAÇÃO!D:D,"")</f>
        <v>46112</v>
      </c>
      <c r="F61" s="2" t="str">
        <f>_xlfn.XLOOKUP(Tabela3[[#This Row],[ORDEM]],[1]BASE_PROGRAMAÇÃO!A:A,[1]BASE_PROGRAMAÇÃO!O:O,"")</f>
        <v>INTERNA</v>
      </c>
      <c r="G61" s="2" t="str">
        <f>_xlfn.XLOOKUP(Tabela3[[#This Row],[ORDEM]],[1]BASE_PROGRAMAÇÃO!A:A,[1]BASE_PROGRAMAÇÃO!L:L,"")</f>
        <v>PLANTIO</v>
      </c>
      <c r="H61" t="str">
        <f>_xlfn.XLOOKUP(Tabela3[[#This Row],[ORDEM]],[2]S_POST!$C:$C,[2]S_POST!$AG:$AG,"")</f>
        <v xml:space="preserve"> 310000014</v>
      </c>
      <c r="I61" t="str">
        <f>_xlfn.XLOOKUP(Tabela3[[#This Row],[ORDEM]],[1]BASE_PROGRAMAÇÃO!A:A,[1]BASE_PROGRAMAÇÃO!$E:$E,"")</f>
        <v>Primária</v>
      </c>
      <c r="J61" t="str">
        <f>_xlfn.XLOOKUP(Tabela3[[#This Row],[ORDEM]],[1]ENCERRADAS!A:A,[1]ENCERRADAS!B:B,"")</f>
        <v>P</v>
      </c>
    </row>
    <row r="62" spans="1:10" x14ac:dyDescent="0.25">
      <c r="A62" t="str">
        <f>_xlfn.XLOOKUP(Tabela3[[#This Row],[ORDEM]],[1]BASE_PROGRAMAÇÃO!A:A,[1]BASE_PROGRAMAÇÃO!C:C,"")</f>
        <v>CAMINHOES</v>
      </c>
      <c r="B62">
        <f>_xlfn.XLOOKUP(Tabela3[[#This Row],[ORDEM]],[1]BASE_PROGRAMAÇÃO!A:A,[1]BASE_PROGRAMAÇÃO!B:B,"")</f>
        <v>11120008</v>
      </c>
      <c r="C62">
        <v>200350</v>
      </c>
      <c r="D62" t="str">
        <f>_xlfn.XLOOKUP(Tabela3[[#This Row],[Coluna3]],'[1]BASE DE PLANOS'!A:A,'[1]BASE DE PLANOS'!B:B,"")</f>
        <v>Primária</v>
      </c>
      <c r="E62" s="2">
        <f>_xlfn.XLOOKUP(Tabela3[[#This Row],[ORDEM]],[1]BASE_PROGRAMAÇÃO!A:A,[1]BASE_PROGRAMAÇÃO!D:D,"")</f>
        <v>46111</v>
      </c>
      <c r="F62" s="2" t="str">
        <f>_xlfn.XLOOKUP(Tabela3[[#This Row],[ORDEM]],[1]BASE_PROGRAMAÇÃO!A:A,[1]BASE_PROGRAMAÇÃO!O:O,"")</f>
        <v>INTERNA</v>
      </c>
      <c r="G62" s="2" t="str">
        <f>_xlfn.XLOOKUP(Tabela3[[#This Row],[ORDEM]],[1]BASE_PROGRAMAÇÃO!A:A,[1]BASE_PROGRAMAÇÃO!L:L,"")</f>
        <v>PLANTIO</v>
      </c>
      <c r="H62" t="str">
        <f>_xlfn.XLOOKUP(Tabela3[[#This Row],[ORDEM]],[2]S_POST!$C:$C,[2]S_POST!$AG:$AG,"")</f>
        <v xml:space="preserve"> 310000014</v>
      </c>
      <c r="I62" t="str">
        <f>_xlfn.XLOOKUP(Tabela3[[#This Row],[ORDEM]],[1]BASE_PROGRAMAÇÃO!A:A,[1]BASE_PROGRAMAÇÃO!$E:$E,"")</f>
        <v>Primária</v>
      </c>
      <c r="J62" t="str">
        <f>_xlfn.XLOOKUP(Tabela3[[#This Row],[ORDEM]],[1]ENCERRADAS!A:A,[1]ENCERRADAS!B:B,"")</f>
        <v>P</v>
      </c>
    </row>
    <row r="63" spans="1:10" x14ac:dyDescent="0.25">
      <c r="A63" t="str">
        <f>_xlfn.XLOOKUP(Tabela3[[#This Row],[ORDEM]],[1]BASE_PROGRAMAÇÃO!A:A,[1]BASE_PROGRAMAÇÃO!C:C,"")</f>
        <v>TRATORES</v>
      </c>
      <c r="B63">
        <f>_xlfn.XLOOKUP(Tabela3[[#This Row],[ORDEM]],[1]BASE_PROGRAMAÇÃO!A:A,[1]BASE_PROGRAMAÇÃO!B:B,"")</f>
        <v>13100350</v>
      </c>
      <c r="C63">
        <v>200349</v>
      </c>
      <c r="D63" t="str">
        <f>_xlfn.XLOOKUP(Tabela3[[#This Row],[Coluna3]],'[1]BASE DE PLANOS'!A:A,'[1]BASE DE PLANOS'!B:B,"")</f>
        <v>Primária</v>
      </c>
      <c r="E63" s="2">
        <f>_xlfn.XLOOKUP(Tabela3[[#This Row],[ORDEM]],[1]BASE_PROGRAMAÇÃO!A:A,[1]BASE_PROGRAMAÇÃO!D:D,"")</f>
        <v>46111</v>
      </c>
      <c r="F63" s="2" t="str">
        <f>_xlfn.XLOOKUP(Tabela3[[#This Row],[ORDEM]],[1]BASE_PROGRAMAÇÃO!A:A,[1]BASE_PROGRAMAÇÃO!O:O,"")</f>
        <v>CAMPO</v>
      </c>
      <c r="G63" s="2" t="str">
        <f>_xlfn.XLOOKUP(Tabela3[[#This Row],[ORDEM]],[1]BASE_PROGRAMAÇÃO!A:A,[1]BASE_PROGRAMAÇÃO!L:L,"")</f>
        <v>PLANTIO</v>
      </c>
      <c r="H63" t="str">
        <f>_xlfn.XLOOKUP(Tabela3[[#This Row],[ORDEM]],[2]S_POST!$C:$C,[2]S_POST!$AG:$AG,"")</f>
        <v xml:space="preserve"> 310000014</v>
      </c>
      <c r="I63" t="str">
        <f>_xlfn.XLOOKUP(Tabela3[[#This Row],[ORDEM]],[1]BASE_PROGRAMAÇÃO!A:A,[1]BASE_PROGRAMAÇÃO!$E:$E,"")</f>
        <v>Primária</v>
      </c>
      <c r="J63" t="str">
        <f>_xlfn.XLOOKUP(Tabela3[[#This Row],[ORDEM]],[1]ENCERRADAS!A:A,[1]ENCERRADAS!B:B,"")</f>
        <v>P</v>
      </c>
    </row>
    <row r="64" spans="1:10" x14ac:dyDescent="0.25">
      <c r="A64" t="str">
        <f>_xlfn.XLOOKUP(Tabela3[[#This Row],[ORDEM]],[1]BASE_PROGRAMAÇÃO!A:A,[1]BASE_PROGRAMAÇÃO!C:C,"")</f>
        <v>TRATORES</v>
      </c>
      <c r="B64">
        <f>_xlfn.XLOOKUP(Tabela3[[#This Row],[ORDEM]],[1]BASE_PROGRAMAÇÃO!A:A,[1]BASE_PROGRAMAÇÃO!B:B,"")</f>
        <v>13100346</v>
      </c>
      <c r="C64">
        <v>200348</v>
      </c>
      <c r="D64" t="str">
        <f>_xlfn.XLOOKUP(Tabela3[[#This Row],[Coluna3]],'[1]BASE DE PLANOS'!A:A,'[1]BASE DE PLANOS'!B:B,"")</f>
        <v>Primária</v>
      </c>
      <c r="E64" s="2">
        <f>_xlfn.XLOOKUP(Tabela3[[#This Row],[ORDEM]],[1]BASE_PROGRAMAÇÃO!A:A,[1]BASE_PROGRAMAÇÃO!D:D,"")</f>
        <v>46112</v>
      </c>
      <c r="F64" s="2" t="str">
        <f>_xlfn.XLOOKUP(Tabela3[[#This Row],[ORDEM]],[1]BASE_PROGRAMAÇÃO!A:A,[1]BASE_PROGRAMAÇÃO!O:O,"")</f>
        <v>CAMPO</v>
      </c>
      <c r="G64" s="2" t="str">
        <f>_xlfn.XLOOKUP(Tabela3[[#This Row],[ORDEM]],[1]BASE_PROGRAMAÇÃO!A:A,[1]BASE_PROGRAMAÇÃO!L:L,"")</f>
        <v>PLANTIO</v>
      </c>
      <c r="H64" t="str">
        <f>_xlfn.XLOOKUP(Tabela3[[#This Row],[ORDEM]],[2]S_POST!$C:$C,[2]S_POST!$AG:$AG,"")</f>
        <v xml:space="preserve"> 310000014</v>
      </c>
      <c r="I64" t="str">
        <f>_xlfn.XLOOKUP(Tabela3[[#This Row],[ORDEM]],[1]BASE_PROGRAMAÇÃO!A:A,[1]BASE_PROGRAMAÇÃO!$E:$E,"")</f>
        <v>Primária</v>
      </c>
      <c r="J64" t="str">
        <f>_xlfn.XLOOKUP(Tabela3[[#This Row],[ORDEM]],[1]ENCERRADAS!A:A,[1]ENCERRADAS!B:B,"")</f>
        <v>P</v>
      </c>
    </row>
    <row r="65" spans="1:10" x14ac:dyDescent="0.25">
      <c r="A65" t="str">
        <f>_xlfn.XLOOKUP(Tabela3[[#This Row],[ORDEM]],[1]BASE_PROGRAMAÇÃO!A:A,[1]BASE_PROGRAMAÇÃO!C:C,"")</f>
        <v>TRATORES</v>
      </c>
      <c r="B65">
        <f>_xlfn.XLOOKUP(Tabela3[[#This Row],[ORDEM]],[1]BASE_PROGRAMAÇÃO!A:A,[1]BASE_PROGRAMAÇÃO!B:B,"")</f>
        <v>13090025</v>
      </c>
      <c r="C65">
        <v>200347</v>
      </c>
      <c r="D65" t="str">
        <f>_xlfn.XLOOKUP(Tabela3[[#This Row],[Coluna3]],'[1]BASE DE PLANOS'!A:A,'[1]BASE DE PLANOS'!B:B,"")</f>
        <v>Primária</v>
      </c>
      <c r="E65" s="2">
        <f>_xlfn.XLOOKUP(Tabela3[[#This Row],[ORDEM]],[1]BASE_PROGRAMAÇÃO!A:A,[1]BASE_PROGRAMAÇÃO!D:D,"")</f>
        <v>46112</v>
      </c>
      <c r="F65" s="2" t="str">
        <f>_xlfn.XLOOKUP(Tabela3[[#This Row],[ORDEM]],[1]BASE_PROGRAMAÇÃO!A:A,[1]BASE_PROGRAMAÇÃO!O:O,"")</f>
        <v>CAMPO</v>
      </c>
      <c r="G65" s="2" t="str">
        <f>_xlfn.XLOOKUP(Tabela3[[#This Row],[ORDEM]],[1]BASE_PROGRAMAÇÃO!A:A,[1]BASE_PROGRAMAÇÃO!L:L,"")</f>
        <v>PLANTIO</v>
      </c>
      <c r="H65" t="str">
        <f>_xlfn.XLOOKUP(Tabela3[[#This Row],[ORDEM]],[2]S_POST!$C:$C,[2]S_POST!$AG:$AG,"")</f>
        <v xml:space="preserve"> 310000014</v>
      </c>
      <c r="I65" t="str">
        <f>_xlfn.XLOOKUP(Tabela3[[#This Row],[ORDEM]],[1]BASE_PROGRAMAÇÃO!A:A,[1]BASE_PROGRAMAÇÃO!$E:$E,"")</f>
        <v>Primária</v>
      </c>
      <c r="J65" t="str">
        <f>_xlfn.XLOOKUP(Tabela3[[#This Row],[ORDEM]],[1]ENCERRADAS!A:A,[1]ENCERRADAS!B:B,"")</f>
        <v>P</v>
      </c>
    </row>
    <row r="66" spans="1:10" x14ac:dyDescent="0.25">
      <c r="A66" t="str">
        <f>_xlfn.XLOOKUP(Tabela3[[#This Row],[ORDEM]],[1]BASE_PROGRAMAÇÃO!A:A,[1]BASE_PROGRAMAÇÃO!C:C,"")</f>
        <v>TRATORES</v>
      </c>
      <c r="B66">
        <f>_xlfn.XLOOKUP(Tabela3[[#This Row],[ORDEM]],[1]BASE_PROGRAMAÇÃO!A:A,[1]BASE_PROGRAMAÇÃO!B:B,"")</f>
        <v>13090021</v>
      </c>
      <c r="C66">
        <v>200345</v>
      </c>
      <c r="D66" t="str">
        <f>_xlfn.XLOOKUP(Tabela3[[#This Row],[Coluna3]],'[1]BASE DE PLANOS'!A:A,'[1]BASE DE PLANOS'!B:B,"")</f>
        <v>Primária</v>
      </c>
      <c r="E66" s="2">
        <f>_xlfn.XLOOKUP(Tabela3[[#This Row],[ORDEM]],[1]BASE_PROGRAMAÇÃO!A:A,[1]BASE_PROGRAMAÇÃO!D:D,"")</f>
        <v>46116</v>
      </c>
      <c r="F66" s="2" t="str">
        <f>_xlfn.XLOOKUP(Tabela3[[#This Row],[ORDEM]],[1]BASE_PROGRAMAÇÃO!A:A,[1]BASE_PROGRAMAÇÃO!O:O,"")</f>
        <v>CAMPO</v>
      </c>
      <c r="G66" s="2" t="str">
        <f>_xlfn.XLOOKUP(Tabela3[[#This Row],[ORDEM]],[1]BASE_PROGRAMAÇÃO!A:A,[1]BASE_PROGRAMAÇÃO!L:L,"")</f>
        <v>PLANTIO</v>
      </c>
      <c r="H66" t="str">
        <f>_xlfn.XLOOKUP(Tabela3[[#This Row],[ORDEM]],[2]S_POST!$C:$C,[2]S_POST!$AG:$AG,"")</f>
        <v xml:space="preserve"> 310000014</v>
      </c>
      <c r="I66" t="str">
        <f>_xlfn.XLOOKUP(Tabela3[[#This Row],[ORDEM]],[1]BASE_PROGRAMAÇÃO!A:A,[1]BASE_PROGRAMAÇÃO!$E:$E,"")</f>
        <v>Primária</v>
      </c>
      <c r="J66" t="str">
        <f>_xlfn.XLOOKUP(Tabela3[[#This Row],[ORDEM]],[1]ENCERRADAS!A:A,[1]ENCERRADAS!B:B,"")</f>
        <v>P</v>
      </c>
    </row>
    <row r="67" spans="1:10" x14ac:dyDescent="0.25">
      <c r="A67" t="str">
        <f>_xlfn.XLOOKUP(Tabela3[[#This Row],[ORDEM]],[1]BASE_PROGRAMAÇÃO!A:A,[1]BASE_PROGRAMAÇÃO!C:C,"")</f>
        <v>CAMINHOES</v>
      </c>
      <c r="B67">
        <f>_xlfn.XLOOKUP(Tabela3[[#This Row],[ORDEM]],[1]BASE_PROGRAMAÇÃO!A:A,[1]BASE_PROGRAMAÇÃO!B:B,"")</f>
        <v>11020033</v>
      </c>
      <c r="C67">
        <v>200344</v>
      </c>
      <c r="D67" t="str">
        <f>_xlfn.XLOOKUP(Tabela3[[#This Row],[Coluna3]],'[1]BASE DE PLANOS'!A:A,'[1]BASE DE PLANOS'!B:B,"")</f>
        <v>Primária</v>
      </c>
      <c r="E67" s="2">
        <f>_xlfn.XLOOKUP(Tabela3[[#This Row],[ORDEM]],[1]BASE_PROGRAMAÇÃO!A:A,[1]BASE_PROGRAMAÇÃO!D:D,"")</f>
        <v>46116</v>
      </c>
      <c r="F67" s="2" t="str">
        <f>_xlfn.XLOOKUP(Tabela3[[#This Row],[ORDEM]],[1]BASE_PROGRAMAÇÃO!A:A,[1]BASE_PROGRAMAÇÃO!O:O,"")</f>
        <v>INTERNA</v>
      </c>
      <c r="G67" s="2" t="str">
        <f>_xlfn.XLOOKUP(Tabela3[[#This Row],[ORDEM]],[1]BASE_PROGRAMAÇÃO!A:A,[1]BASE_PROGRAMAÇÃO!L:L,"")</f>
        <v>INDÚSTRIA</v>
      </c>
      <c r="H67" t="str">
        <f>_xlfn.XLOOKUP(Tabela3[[#This Row],[ORDEM]],[2]S_POST!$C:$C,[2]S_POST!$AG:$AG,"")</f>
        <v xml:space="preserve"> 310000014</v>
      </c>
      <c r="I67" t="str">
        <f>_xlfn.XLOOKUP(Tabela3[[#This Row],[ORDEM]],[1]BASE_PROGRAMAÇÃO!A:A,[1]BASE_PROGRAMAÇÃO!$E:$E,"")</f>
        <v>Primária</v>
      </c>
      <c r="J67" t="str">
        <f>_xlfn.XLOOKUP(Tabela3[[#This Row],[ORDEM]],[1]ENCERRADAS!A:A,[1]ENCERRADAS!B:B,"")</f>
        <v>P</v>
      </c>
    </row>
    <row r="68" spans="1:10" x14ac:dyDescent="0.25">
      <c r="A68" t="str">
        <f>_xlfn.XLOOKUP(Tabela3[[#This Row],[ORDEM]],[1]BASE_PROGRAMAÇÃO!A:A,[1]BASE_PROGRAMAÇÃO!C:C,"")</f>
        <v>MAQUINAS PESADAS</v>
      </c>
      <c r="B68">
        <f>_xlfn.XLOOKUP(Tabela3[[#This Row],[ORDEM]],[1]BASE_PROGRAMAÇÃO!A:A,[1]BASE_PROGRAMAÇÃO!B:B,"")</f>
        <v>13050066</v>
      </c>
      <c r="C68">
        <v>200343</v>
      </c>
      <c r="D68" t="str">
        <f>_xlfn.XLOOKUP(Tabela3[[#This Row],[Coluna3]],'[1]BASE DE PLANOS'!A:A,'[1]BASE DE PLANOS'!B:B,"")</f>
        <v>Primária</v>
      </c>
      <c r="E68" s="2">
        <f>_xlfn.XLOOKUP(Tabela3[[#This Row],[ORDEM]],[1]BASE_PROGRAMAÇÃO!A:A,[1]BASE_PROGRAMAÇÃO!D:D,"")</f>
        <v>46113</v>
      </c>
      <c r="F68" s="2" t="str">
        <f>_xlfn.XLOOKUP(Tabela3[[#This Row],[ORDEM]],[1]BASE_PROGRAMAÇÃO!A:A,[1]BASE_PROGRAMAÇÃO!O:O,"")</f>
        <v>CAMPO</v>
      </c>
      <c r="G68" s="2" t="str">
        <f>_xlfn.XLOOKUP(Tabela3[[#This Row],[ORDEM]],[1]BASE_PROGRAMAÇÃO!A:A,[1]BASE_PROGRAMAÇÃO!L:L,"")</f>
        <v>INDÚSTRIA</v>
      </c>
      <c r="H68" t="str">
        <f>_xlfn.XLOOKUP(Tabela3[[#This Row],[ORDEM]],[2]S_POST!$C:$C,[2]S_POST!$AG:$AG,"")</f>
        <v xml:space="preserve"> 310000014</v>
      </c>
      <c r="I68" t="str">
        <f>_xlfn.XLOOKUP(Tabela3[[#This Row],[ORDEM]],[1]BASE_PROGRAMAÇÃO!A:A,[1]BASE_PROGRAMAÇÃO!$E:$E,"")</f>
        <v>Primária</v>
      </c>
      <c r="J68" t="str">
        <f>_xlfn.XLOOKUP(Tabela3[[#This Row],[ORDEM]],[1]ENCERRADAS!A:A,[1]ENCERRADAS!B:B,"")</f>
        <v>P</v>
      </c>
    </row>
    <row r="69" spans="1:10" x14ac:dyDescent="0.25">
      <c r="A69" t="str">
        <f>_xlfn.XLOOKUP(Tabela3[[#This Row],[ORDEM]],[1]BASE_PROGRAMAÇÃO!A:A,[1]BASE_PROGRAMAÇÃO!C:C,"")</f>
        <v>MAQUINAS PESADAS</v>
      </c>
      <c r="B69">
        <f>_xlfn.XLOOKUP(Tabela3[[#This Row],[ORDEM]],[1]BASE_PROGRAMAÇÃO!A:A,[1]BASE_PROGRAMAÇÃO!B:B,"")</f>
        <v>13050010</v>
      </c>
      <c r="C69">
        <v>200342</v>
      </c>
      <c r="D69" t="str">
        <f>_xlfn.XLOOKUP(Tabela3[[#This Row],[Coluna3]],'[1]BASE DE PLANOS'!A:A,'[1]BASE DE PLANOS'!B:B,"")</f>
        <v>Primária</v>
      </c>
      <c r="E69" s="2">
        <f>_xlfn.XLOOKUP(Tabela3[[#This Row],[ORDEM]],[1]BASE_PROGRAMAÇÃO!A:A,[1]BASE_PROGRAMAÇÃO!D:D,"")</f>
        <v>46111</v>
      </c>
      <c r="F69" s="2" t="str">
        <f>_xlfn.XLOOKUP(Tabela3[[#This Row],[ORDEM]],[1]BASE_PROGRAMAÇÃO!A:A,[1]BASE_PROGRAMAÇÃO!O:O,"")</f>
        <v>CAMPO</v>
      </c>
      <c r="G69" s="2" t="str">
        <f>_xlfn.XLOOKUP(Tabela3[[#This Row],[ORDEM]],[1]BASE_PROGRAMAÇÃO!A:A,[1]BASE_PROGRAMAÇÃO!L:L,"")</f>
        <v>INDÚSTRIA</v>
      </c>
      <c r="H69" t="str">
        <f>_xlfn.XLOOKUP(Tabela3[[#This Row],[ORDEM]],[2]S_POST!$C:$C,[2]S_POST!$AG:$AG,"")</f>
        <v xml:space="preserve"> 310000014</v>
      </c>
      <c r="I69" t="str">
        <f>_xlfn.XLOOKUP(Tabela3[[#This Row],[ORDEM]],[1]BASE_PROGRAMAÇÃO!A:A,[1]BASE_PROGRAMAÇÃO!$E:$E,"")</f>
        <v>Primária</v>
      </c>
      <c r="J69" t="str">
        <f>_xlfn.XLOOKUP(Tabela3[[#This Row],[ORDEM]],[1]ENCERRADAS!A:A,[1]ENCERRADAS!B:B,"")</f>
        <v>P</v>
      </c>
    </row>
    <row r="70" spans="1:10" x14ac:dyDescent="0.25">
      <c r="A70" t="str">
        <f>_xlfn.XLOOKUP(Tabela3[[#This Row],[ORDEM]],[1]BASE_PROGRAMAÇÃO!A:A,[1]BASE_PROGRAMAÇÃO!C:C,"")</f>
        <v>TRATORES</v>
      </c>
      <c r="B70">
        <f>_xlfn.XLOOKUP(Tabela3[[#This Row],[ORDEM]],[1]BASE_PROGRAMAÇÃO!A:A,[1]BASE_PROGRAMAÇÃO!B:B,"")</f>
        <v>13100005</v>
      </c>
      <c r="C70">
        <v>200341</v>
      </c>
      <c r="D70" t="str">
        <f>_xlfn.XLOOKUP(Tabela3[[#This Row],[Coluna3]],'[1]BASE DE PLANOS'!A:A,'[1]BASE DE PLANOS'!B:B,"")</f>
        <v>Primária</v>
      </c>
      <c r="E70" s="2">
        <f>_xlfn.XLOOKUP(Tabela3[[#This Row],[ORDEM]],[1]BASE_PROGRAMAÇÃO!A:A,[1]BASE_PROGRAMAÇÃO!D:D,"")</f>
        <v>46112</v>
      </c>
      <c r="F70" s="2" t="str">
        <f>_xlfn.XLOOKUP(Tabela3[[#This Row],[ORDEM]],[1]BASE_PROGRAMAÇÃO!A:A,[1]BASE_PROGRAMAÇÃO!O:O,"")</f>
        <v>CAMPO</v>
      </c>
      <c r="G70" s="2" t="str">
        <f>_xlfn.XLOOKUP(Tabela3[[#This Row],[ORDEM]],[1]BASE_PROGRAMAÇÃO!A:A,[1]BASE_PROGRAMAÇÃO!L:L,"")</f>
        <v>INDÚSTRIA</v>
      </c>
      <c r="H70" t="str">
        <f>_xlfn.XLOOKUP(Tabela3[[#This Row],[ORDEM]],[2]S_POST!$C:$C,[2]S_POST!$AG:$AG,"")</f>
        <v xml:space="preserve"> 310000014</v>
      </c>
      <c r="I70" t="str">
        <f>_xlfn.XLOOKUP(Tabela3[[#This Row],[ORDEM]],[1]BASE_PROGRAMAÇÃO!A:A,[1]BASE_PROGRAMAÇÃO!$E:$E,"")</f>
        <v>Primária</v>
      </c>
      <c r="J70" t="str">
        <f>_xlfn.XLOOKUP(Tabela3[[#This Row],[ORDEM]],[1]ENCERRADAS!A:A,[1]ENCERRADAS!B:B,"")</f>
        <v>P</v>
      </c>
    </row>
    <row r="71" spans="1:10" x14ac:dyDescent="0.25">
      <c r="A71" t="str">
        <f>_xlfn.XLOOKUP(Tabela3[[#This Row],[ORDEM]],[1]BASE_PROGRAMAÇÃO!A:A,[1]BASE_PROGRAMAÇÃO!C:C,"")</f>
        <v>IMPLEMENTOS RODOVIARIOS</v>
      </c>
      <c r="B71">
        <f>_xlfn.XLOOKUP(Tabela3[[#This Row],[ORDEM]],[1]BASE_PROGRAMAÇÃO!A:A,[1]BASE_PROGRAMAÇÃO!B:B,"")</f>
        <v>16070193</v>
      </c>
      <c r="C71">
        <v>200340</v>
      </c>
      <c r="D71" t="str">
        <f>_xlfn.XLOOKUP(Tabela3[[#This Row],[Coluna3]],'[1]BASE DE PLANOS'!A:A,'[1]BASE DE PLANOS'!B:B,"")</f>
        <v>Primária</v>
      </c>
      <c r="E71" s="2">
        <f>_xlfn.XLOOKUP(Tabela3[[#This Row],[ORDEM]],[1]BASE_PROGRAMAÇÃO!A:A,[1]BASE_PROGRAMAÇÃO!D:D,"")</f>
        <v>46112</v>
      </c>
      <c r="F71" s="2" t="str">
        <f>_xlfn.XLOOKUP(Tabela3[[#This Row],[ORDEM]],[1]BASE_PROGRAMAÇÃO!A:A,[1]BASE_PROGRAMAÇÃO!O:O,"")</f>
        <v>INTERNA</v>
      </c>
      <c r="G71" s="2" t="str">
        <f>_xlfn.XLOOKUP(Tabela3[[#This Row],[ORDEM]],[1]BASE_PROGRAMAÇÃO!A:A,[1]BASE_PROGRAMAÇÃO!L:L,"")</f>
        <v>COLHEITA</v>
      </c>
      <c r="H71" t="str">
        <f>_xlfn.XLOOKUP(Tabela3[[#This Row],[ORDEM]],[2]S_POST!$C:$C,[2]S_POST!$AG:$AG,"")</f>
        <v xml:space="preserve"> 210000015</v>
      </c>
      <c r="I71" t="str">
        <f>_xlfn.XLOOKUP(Tabela3[[#This Row],[ORDEM]],[1]BASE_PROGRAMAÇÃO!A:A,[1]BASE_PROGRAMAÇÃO!$E:$E,"")</f>
        <v>Primária</v>
      </c>
      <c r="J71" t="str">
        <f>_xlfn.XLOOKUP(Tabela3[[#This Row],[ORDEM]],[1]ENCERRADAS!A:A,[1]ENCERRADAS!B:B,"")</f>
        <v>P</v>
      </c>
    </row>
    <row r="72" spans="1:10" x14ac:dyDescent="0.25">
      <c r="A72" t="str">
        <f>_xlfn.XLOOKUP(Tabela3[[#This Row],[ORDEM]],[1]BASE_PROGRAMAÇÃO!A:A,[1]BASE_PROGRAMAÇÃO!C:C,"")</f>
        <v>IMPLEMENTOS RODOVIARIOS</v>
      </c>
      <c r="B72">
        <f>_xlfn.XLOOKUP(Tabela3[[#This Row],[ORDEM]],[1]BASE_PROGRAMAÇÃO!A:A,[1]BASE_PROGRAMAÇÃO!B:B,"")</f>
        <v>16070192</v>
      </c>
      <c r="C72">
        <v>200339</v>
      </c>
      <c r="D72" t="str">
        <f>_xlfn.XLOOKUP(Tabela3[[#This Row],[Coluna3]],'[1]BASE DE PLANOS'!A:A,'[1]BASE DE PLANOS'!B:B,"")</f>
        <v>Primária</v>
      </c>
      <c r="E72" s="2">
        <f>_xlfn.XLOOKUP(Tabela3[[#This Row],[ORDEM]],[1]BASE_PROGRAMAÇÃO!A:A,[1]BASE_PROGRAMAÇÃO!D:D,"")</f>
        <v>46115</v>
      </c>
      <c r="F72" s="2" t="str">
        <f>_xlfn.XLOOKUP(Tabela3[[#This Row],[ORDEM]],[1]BASE_PROGRAMAÇÃO!A:A,[1]BASE_PROGRAMAÇÃO!O:O,"")</f>
        <v>INTERNA</v>
      </c>
      <c r="G72" s="2" t="str">
        <f>_xlfn.XLOOKUP(Tabela3[[#This Row],[ORDEM]],[1]BASE_PROGRAMAÇÃO!A:A,[1]BASE_PROGRAMAÇÃO!L:L,"")</f>
        <v>COLHEITA</v>
      </c>
      <c r="H72" t="str">
        <f>_xlfn.XLOOKUP(Tabela3[[#This Row],[ORDEM]],[2]S_POST!$C:$C,[2]S_POST!$AG:$AG,"")</f>
        <v xml:space="preserve"> 210000015</v>
      </c>
      <c r="I72" t="str">
        <f>_xlfn.XLOOKUP(Tabela3[[#This Row],[ORDEM]],[1]BASE_PROGRAMAÇÃO!A:A,[1]BASE_PROGRAMAÇÃO!$E:$E,"")</f>
        <v>Primária</v>
      </c>
      <c r="J72" t="str">
        <f>_xlfn.XLOOKUP(Tabela3[[#This Row],[ORDEM]],[1]ENCERRADAS!A:A,[1]ENCERRADAS!B:B,"")</f>
        <v>P</v>
      </c>
    </row>
    <row r="73" spans="1:10" x14ac:dyDescent="0.25">
      <c r="A73" t="str">
        <f>_xlfn.XLOOKUP(Tabela3[[#This Row],[ORDEM]],[1]BASE_PROGRAMAÇÃO!A:A,[1]BASE_PROGRAMAÇÃO!C:C,"")</f>
        <v>IMPLEMENTOS RODOVIARIOS</v>
      </c>
      <c r="B73">
        <f>_xlfn.XLOOKUP(Tabela3[[#This Row],[ORDEM]],[1]BASE_PROGRAMAÇÃO!A:A,[1]BASE_PROGRAMAÇÃO!B:B,"")</f>
        <v>16070191</v>
      </c>
      <c r="C73">
        <v>200338</v>
      </c>
      <c r="D73" t="str">
        <f>_xlfn.XLOOKUP(Tabela3[[#This Row],[Coluna3]],'[1]BASE DE PLANOS'!A:A,'[1]BASE DE PLANOS'!B:B,"")</f>
        <v>Primária</v>
      </c>
      <c r="E73" s="2">
        <f>_xlfn.XLOOKUP(Tabela3[[#This Row],[ORDEM]],[1]BASE_PROGRAMAÇÃO!A:A,[1]BASE_PROGRAMAÇÃO!D:D,"")</f>
        <v>46111</v>
      </c>
      <c r="F73" s="2" t="str">
        <f>_xlfn.XLOOKUP(Tabela3[[#This Row],[ORDEM]],[1]BASE_PROGRAMAÇÃO!A:A,[1]BASE_PROGRAMAÇÃO!O:O,"")</f>
        <v>INTERNA</v>
      </c>
      <c r="G73" s="2" t="str">
        <f>_xlfn.XLOOKUP(Tabela3[[#This Row],[ORDEM]],[1]BASE_PROGRAMAÇÃO!A:A,[1]BASE_PROGRAMAÇÃO!L:L,"")</f>
        <v>COLHEITA</v>
      </c>
      <c r="H73" t="str">
        <f>_xlfn.XLOOKUP(Tabela3[[#This Row],[ORDEM]],[2]S_POST!$C:$C,[2]S_POST!$AG:$AG,"")</f>
        <v xml:space="preserve"> 210000015</v>
      </c>
      <c r="I73" t="str">
        <f>_xlfn.XLOOKUP(Tabela3[[#This Row],[ORDEM]],[1]BASE_PROGRAMAÇÃO!A:A,[1]BASE_PROGRAMAÇÃO!$E:$E,"")</f>
        <v>Primária</v>
      </c>
      <c r="J73" t="str">
        <f>_xlfn.XLOOKUP(Tabela3[[#This Row],[ORDEM]],[1]ENCERRADAS!A:A,[1]ENCERRADAS!B:B,"")</f>
        <v>P</v>
      </c>
    </row>
    <row r="74" spans="1:10" x14ac:dyDescent="0.25">
      <c r="A74" t="str">
        <f>_xlfn.XLOOKUP(Tabela3[[#This Row],[ORDEM]],[1]BASE_PROGRAMAÇÃO!A:A,[1]BASE_PROGRAMAÇÃO!C:C,"")</f>
        <v>IMPLEMENTOS RODOVIARIOS</v>
      </c>
      <c r="B74">
        <f>_xlfn.XLOOKUP(Tabela3[[#This Row],[ORDEM]],[1]BASE_PROGRAMAÇÃO!A:A,[1]BASE_PROGRAMAÇÃO!B:B,"")</f>
        <v>16070184</v>
      </c>
      <c r="C74">
        <v>200337</v>
      </c>
      <c r="D74" t="str">
        <f>_xlfn.XLOOKUP(Tabela3[[#This Row],[Coluna3]],'[1]BASE DE PLANOS'!A:A,'[1]BASE DE PLANOS'!B:B,"")</f>
        <v>Primária</v>
      </c>
      <c r="E74" s="2">
        <f>_xlfn.XLOOKUP(Tabela3[[#This Row],[ORDEM]],[1]BASE_PROGRAMAÇÃO!A:A,[1]BASE_PROGRAMAÇÃO!D:D,"")</f>
        <v>46113</v>
      </c>
      <c r="F74" s="2" t="str">
        <f>_xlfn.XLOOKUP(Tabela3[[#This Row],[ORDEM]],[1]BASE_PROGRAMAÇÃO!A:A,[1]BASE_PROGRAMAÇÃO!O:O,"")</f>
        <v>INTERNA</v>
      </c>
      <c r="G74" s="2" t="str">
        <f>_xlfn.XLOOKUP(Tabela3[[#This Row],[ORDEM]],[1]BASE_PROGRAMAÇÃO!A:A,[1]BASE_PROGRAMAÇÃO!L:L,"")</f>
        <v>COLHEITA</v>
      </c>
      <c r="H74" t="str">
        <f>_xlfn.XLOOKUP(Tabela3[[#This Row],[ORDEM]],[2]S_POST!$C:$C,[2]S_POST!$AG:$AG,"")</f>
        <v xml:space="preserve"> 210000015</v>
      </c>
      <c r="I74" t="str">
        <f>_xlfn.XLOOKUP(Tabela3[[#This Row],[ORDEM]],[1]BASE_PROGRAMAÇÃO!A:A,[1]BASE_PROGRAMAÇÃO!$E:$E,"")</f>
        <v>Primária</v>
      </c>
      <c r="J74" t="str">
        <f>_xlfn.XLOOKUP(Tabela3[[#This Row],[ORDEM]],[1]ENCERRADAS!A:A,[1]ENCERRADAS!B:B,"")</f>
        <v>P</v>
      </c>
    </row>
    <row r="75" spans="1:10" x14ac:dyDescent="0.25">
      <c r="A75" t="str">
        <f>_xlfn.XLOOKUP(Tabela3[[#This Row],[ORDEM]],[1]BASE_PROGRAMAÇÃO!A:A,[1]BASE_PROGRAMAÇÃO!C:C,"")</f>
        <v>IMPLEMENTOS RODOVIARIOS</v>
      </c>
      <c r="B75">
        <f>_xlfn.XLOOKUP(Tabela3[[#This Row],[ORDEM]],[1]BASE_PROGRAMAÇÃO!A:A,[1]BASE_PROGRAMAÇÃO!B:B,"")</f>
        <v>16070155</v>
      </c>
      <c r="C75">
        <v>200336</v>
      </c>
      <c r="D75" t="str">
        <f>_xlfn.XLOOKUP(Tabela3[[#This Row],[Coluna3]],'[1]BASE DE PLANOS'!A:A,'[1]BASE DE PLANOS'!B:B,"")</f>
        <v>Primária</v>
      </c>
      <c r="E75" s="2">
        <f>_xlfn.XLOOKUP(Tabela3[[#This Row],[ORDEM]],[1]BASE_PROGRAMAÇÃO!A:A,[1]BASE_PROGRAMAÇÃO!D:D,"")</f>
        <v>46111</v>
      </c>
      <c r="F75" s="2" t="str">
        <f>_xlfn.XLOOKUP(Tabela3[[#This Row],[ORDEM]],[1]BASE_PROGRAMAÇÃO!A:A,[1]BASE_PROGRAMAÇÃO!O:O,"")</f>
        <v>INTERNA</v>
      </c>
      <c r="G75" s="2" t="str">
        <f>_xlfn.XLOOKUP(Tabela3[[#This Row],[ORDEM]],[1]BASE_PROGRAMAÇÃO!A:A,[1]BASE_PROGRAMAÇÃO!L:L,"")</f>
        <v>COLHEITA</v>
      </c>
      <c r="H75" t="str">
        <f>_xlfn.XLOOKUP(Tabela3[[#This Row],[ORDEM]],[2]S_POST!$C:$C,[2]S_POST!$AG:$AG,"")</f>
        <v xml:space="preserve"> 210000015</v>
      </c>
      <c r="I75" t="str">
        <f>_xlfn.XLOOKUP(Tabela3[[#This Row],[ORDEM]],[1]BASE_PROGRAMAÇÃO!A:A,[1]BASE_PROGRAMAÇÃO!$E:$E,"")</f>
        <v>Primária</v>
      </c>
      <c r="J75" t="str">
        <f>_xlfn.XLOOKUP(Tabela3[[#This Row],[ORDEM]],[1]ENCERRADAS!A:A,[1]ENCERRADAS!B:B,"")</f>
        <v>P</v>
      </c>
    </row>
    <row r="76" spans="1:10" x14ac:dyDescent="0.25">
      <c r="A76" t="str">
        <f>_xlfn.XLOOKUP(Tabela3[[#This Row],[ORDEM]],[1]BASE_PROGRAMAÇÃO!A:A,[1]BASE_PROGRAMAÇÃO!C:C,"")</f>
        <v>IMPLEMENTOS RODOVIARIOS</v>
      </c>
      <c r="B76">
        <f>_xlfn.XLOOKUP(Tabela3[[#This Row],[ORDEM]],[1]BASE_PROGRAMAÇÃO!A:A,[1]BASE_PROGRAMAÇÃO!B:B,"")</f>
        <v>16070153</v>
      </c>
      <c r="C76">
        <v>200335</v>
      </c>
      <c r="D76" t="str">
        <f>_xlfn.XLOOKUP(Tabela3[[#This Row],[Coluna3]],'[1]BASE DE PLANOS'!A:A,'[1]BASE DE PLANOS'!B:B,"")</f>
        <v>Primária</v>
      </c>
      <c r="E76" s="2">
        <f>_xlfn.XLOOKUP(Tabela3[[#This Row],[ORDEM]],[1]BASE_PROGRAMAÇÃO!A:A,[1]BASE_PROGRAMAÇÃO!D:D,"")</f>
        <v>46113</v>
      </c>
      <c r="F76" s="2" t="str">
        <f>_xlfn.XLOOKUP(Tabela3[[#This Row],[ORDEM]],[1]BASE_PROGRAMAÇÃO!A:A,[1]BASE_PROGRAMAÇÃO!O:O,"")</f>
        <v>INTERNA</v>
      </c>
      <c r="G76" s="2" t="str">
        <f>_xlfn.XLOOKUP(Tabela3[[#This Row],[ORDEM]],[1]BASE_PROGRAMAÇÃO!A:A,[1]BASE_PROGRAMAÇÃO!L:L,"")</f>
        <v>COLHEITA</v>
      </c>
      <c r="H76" t="str">
        <f>_xlfn.XLOOKUP(Tabela3[[#This Row],[ORDEM]],[2]S_POST!$C:$C,[2]S_POST!$AG:$AG,"")</f>
        <v xml:space="preserve"> 210000015</v>
      </c>
      <c r="I76" t="str">
        <f>_xlfn.XLOOKUP(Tabela3[[#This Row],[ORDEM]],[1]BASE_PROGRAMAÇÃO!A:A,[1]BASE_PROGRAMAÇÃO!$E:$E,"")</f>
        <v>Primária</v>
      </c>
      <c r="J76" t="str">
        <f>_xlfn.XLOOKUP(Tabela3[[#This Row],[ORDEM]],[1]ENCERRADAS!A:A,[1]ENCERRADAS!B:B,"")</f>
        <v>P</v>
      </c>
    </row>
    <row r="77" spans="1:10" x14ac:dyDescent="0.25">
      <c r="A77" t="str">
        <f>_xlfn.XLOOKUP(Tabela3[[#This Row],[ORDEM]],[1]BASE_PROGRAMAÇÃO!A:A,[1]BASE_PROGRAMAÇÃO!C:C,"")</f>
        <v>IMPLEMENTOS RODOVIARIOS</v>
      </c>
      <c r="B77">
        <f>_xlfn.XLOOKUP(Tabela3[[#This Row],[ORDEM]],[1]BASE_PROGRAMAÇÃO!A:A,[1]BASE_PROGRAMAÇÃO!B:B,"")</f>
        <v>16070152</v>
      </c>
      <c r="C77">
        <v>200334</v>
      </c>
      <c r="D77" t="str">
        <f>_xlfn.XLOOKUP(Tabela3[[#This Row],[Coluna3]],'[1]BASE DE PLANOS'!A:A,'[1]BASE DE PLANOS'!B:B,"")</f>
        <v>Primária</v>
      </c>
      <c r="E77" s="2">
        <f>_xlfn.XLOOKUP(Tabela3[[#This Row],[ORDEM]],[1]BASE_PROGRAMAÇÃO!A:A,[1]BASE_PROGRAMAÇÃO!D:D,"")</f>
        <v>46116</v>
      </c>
      <c r="F77" s="2" t="str">
        <f>_xlfn.XLOOKUP(Tabela3[[#This Row],[ORDEM]],[1]BASE_PROGRAMAÇÃO!A:A,[1]BASE_PROGRAMAÇÃO!O:O,"")</f>
        <v>INTERNA</v>
      </c>
      <c r="G77" s="2" t="str">
        <f>_xlfn.XLOOKUP(Tabela3[[#This Row],[ORDEM]],[1]BASE_PROGRAMAÇÃO!A:A,[1]BASE_PROGRAMAÇÃO!L:L,"")</f>
        <v>COLHEITA</v>
      </c>
      <c r="H77" t="str">
        <f>_xlfn.XLOOKUP(Tabela3[[#This Row],[ORDEM]],[2]S_POST!$C:$C,[2]S_POST!$AG:$AG,"")</f>
        <v xml:space="preserve"> 210000015</v>
      </c>
      <c r="I77" t="str">
        <f>_xlfn.XLOOKUP(Tabela3[[#This Row],[ORDEM]],[1]BASE_PROGRAMAÇÃO!A:A,[1]BASE_PROGRAMAÇÃO!$E:$E,"")</f>
        <v>Primária</v>
      </c>
      <c r="J77" t="str">
        <f>_xlfn.XLOOKUP(Tabela3[[#This Row],[ORDEM]],[1]ENCERRADAS!A:A,[1]ENCERRADAS!B:B,"")</f>
        <v>P</v>
      </c>
    </row>
    <row r="78" spans="1:10" x14ac:dyDescent="0.25">
      <c r="A78" t="str">
        <f>_xlfn.XLOOKUP(Tabela3[[#This Row],[ORDEM]],[1]BASE_PROGRAMAÇÃO!A:A,[1]BASE_PROGRAMAÇÃO!C:C,"")</f>
        <v>IMPLEMENTOS RODOVIARIOS</v>
      </c>
      <c r="B78">
        <f>_xlfn.XLOOKUP(Tabela3[[#This Row],[ORDEM]],[1]BASE_PROGRAMAÇÃO!A:A,[1]BASE_PROGRAMAÇÃO!B:B,"")</f>
        <v>16070149</v>
      </c>
      <c r="C78">
        <v>200333</v>
      </c>
      <c r="D78" t="str">
        <f>_xlfn.XLOOKUP(Tabela3[[#This Row],[Coluna3]],'[1]BASE DE PLANOS'!A:A,'[1]BASE DE PLANOS'!B:B,"")</f>
        <v>Primária</v>
      </c>
      <c r="E78" s="2">
        <f>_xlfn.XLOOKUP(Tabela3[[#This Row],[ORDEM]],[1]BASE_PROGRAMAÇÃO!A:A,[1]BASE_PROGRAMAÇÃO!D:D,"")</f>
        <v>46114</v>
      </c>
      <c r="F78" s="2" t="str">
        <f>_xlfn.XLOOKUP(Tabela3[[#This Row],[ORDEM]],[1]BASE_PROGRAMAÇÃO!A:A,[1]BASE_PROGRAMAÇÃO!O:O,"")</f>
        <v>INTERNA</v>
      </c>
      <c r="G78" s="2" t="str">
        <f>_xlfn.XLOOKUP(Tabela3[[#This Row],[ORDEM]],[1]BASE_PROGRAMAÇÃO!A:A,[1]BASE_PROGRAMAÇÃO!L:L,"")</f>
        <v>COLHEITA</v>
      </c>
      <c r="H78" t="str">
        <f>_xlfn.XLOOKUP(Tabela3[[#This Row],[ORDEM]],[2]S_POST!$C:$C,[2]S_POST!$AG:$AG,"")</f>
        <v xml:space="preserve"> 210000015</v>
      </c>
      <c r="I78" t="str">
        <f>_xlfn.XLOOKUP(Tabela3[[#This Row],[ORDEM]],[1]BASE_PROGRAMAÇÃO!A:A,[1]BASE_PROGRAMAÇÃO!$E:$E,"")</f>
        <v>Primária</v>
      </c>
      <c r="J78" t="str">
        <f>_xlfn.XLOOKUP(Tabela3[[#This Row],[ORDEM]],[1]ENCERRADAS!A:A,[1]ENCERRADAS!B:B,"")</f>
        <v>P</v>
      </c>
    </row>
    <row r="79" spans="1:10" x14ac:dyDescent="0.25">
      <c r="A79" t="str">
        <f>_xlfn.XLOOKUP(Tabela3[[#This Row],[ORDEM]],[1]BASE_PROGRAMAÇÃO!A:A,[1]BASE_PROGRAMAÇÃO!C:C,"")</f>
        <v>IMPLEMENTOS RODOVIARIOS</v>
      </c>
      <c r="B79">
        <f>_xlfn.XLOOKUP(Tabela3[[#This Row],[ORDEM]],[1]BASE_PROGRAMAÇÃO!A:A,[1]BASE_PROGRAMAÇÃO!B:B,"")</f>
        <v>16070148</v>
      </c>
      <c r="C79">
        <v>200332</v>
      </c>
      <c r="D79" t="str">
        <f>_xlfn.XLOOKUP(Tabela3[[#This Row],[Coluna3]],'[1]BASE DE PLANOS'!A:A,'[1]BASE DE PLANOS'!B:B,"")</f>
        <v>Primária</v>
      </c>
      <c r="E79" s="2">
        <f>_xlfn.XLOOKUP(Tabela3[[#This Row],[ORDEM]],[1]BASE_PROGRAMAÇÃO!A:A,[1]BASE_PROGRAMAÇÃO!D:D,"")</f>
        <v>46115</v>
      </c>
      <c r="F79" s="2" t="str">
        <f>_xlfn.XLOOKUP(Tabela3[[#This Row],[ORDEM]],[1]BASE_PROGRAMAÇÃO!A:A,[1]BASE_PROGRAMAÇÃO!O:O,"")</f>
        <v>INTERNA</v>
      </c>
      <c r="G79" s="2" t="str">
        <f>_xlfn.XLOOKUP(Tabela3[[#This Row],[ORDEM]],[1]BASE_PROGRAMAÇÃO!A:A,[1]BASE_PROGRAMAÇÃO!L:L,"")</f>
        <v>COLHEITA</v>
      </c>
      <c r="H79" t="str">
        <f>_xlfn.XLOOKUP(Tabela3[[#This Row],[ORDEM]],[2]S_POST!$C:$C,[2]S_POST!$AG:$AG,"")</f>
        <v xml:space="preserve"> 210000015</v>
      </c>
      <c r="I79" t="str">
        <f>_xlfn.XLOOKUP(Tabela3[[#This Row],[ORDEM]],[1]BASE_PROGRAMAÇÃO!A:A,[1]BASE_PROGRAMAÇÃO!$E:$E,"")</f>
        <v>Primária</v>
      </c>
      <c r="J79" t="str">
        <f>_xlfn.XLOOKUP(Tabela3[[#This Row],[ORDEM]],[1]ENCERRADAS!A:A,[1]ENCERRADAS!B:B,"")</f>
        <v>P</v>
      </c>
    </row>
    <row r="80" spans="1:10" x14ac:dyDescent="0.25">
      <c r="A80" t="str">
        <f>_xlfn.XLOOKUP(Tabela3[[#This Row],[ORDEM]],[1]BASE_PROGRAMAÇÃO!A:A,[1]BASE_PROGRAMAÇÃO!C:C,"")</f>
        <v>IMPLEMENTOS RODOVIARIOS</v>
      </c>
      <c r="B80">
        <f>_xlfn.XLOOKUP(Tabela3[[#This Row],[ORDEM]],[1]BASE_PROGRAMAÇÃO!A:A,[1]BASE_PROGRAMAÇÃO!B:B,"")</f>
        <v>16070147</v>
      </c>
      <c r="C80">
        <v>200331</v>
      </c>
      <c r="D80" t="str">
        <f>_xlfn.XLOOKUP(Tabela3[[#This Row],[Coluna3]],'[1]BASE DE PLANOS'!A:A,'[1]BASE DE PLANOS'!B:B,"")</f>
        <v>Primária</v>
      </c>
      <c r="E80" s="2">
        <f>_xlfn.XLOOKUP(Tabela3[[#This Row],[ORDEM]],[1]BASE_PROGRAMAÇÃO!A:A,[1]BASE_PROGRAMAÇÃO!D:D,"")</f>
        <v>46114</v>
      </c>
      <c r="F80" s="2" t="str">
        <f>_xlfn.XLOOKUP(Tabela3[[#This Row],[ORDEM]],[1]BASE_PROGRAMAÇÃO!A:A,[1]BASE_PROGRAMAÇÃO!O:O,"")</f>
        <v>INTERNA</v>
      </c>
      <c r="G80" s="2" t="str">
        <f>_xlfn.XLOOKUP(Tabela3[[#This Row],[ORDEM]],[1]BASE_PROGRAMAÇÃO!A:A,[1]BASE_PROGRAMAÇÃO!L:L,"")</f>
        <v>COLHEITA</v>
      </c>
      <c r="H80" t="str">
        <f>_xlfn.XLOOKUP(Tabela3[[#This Row],[ORDEM]],[2]S_POST!$C:$C,[2]S_POST!$AG:$AG,"")</f>
        <v xml:space="preserve"> 210000015</v>
      </c>
      <c r="I80" t="str">
        <f>_xlfn.XLOOKUP(Tabela3[[#This Row],[ORDEM]],[1]BASE_PROGRAMAÇÃO!A:A,[1]BASE_PROGRAMAÇÃO!$E:$E,"")</f>
        <v>Primária</v>
      </c>
      <c r="J80" t="str">
        <f>_xlfn.XLOOKUP(Tabela3[[#This Row],[ORDEM]],[1]ENCERRADAS!A:A,[1]ENCERRADAS!B:B,"")</f>
        <v>P</v>
      </c>
    </row>
    <row r="81" spans="1:10" x14ac:dyDescent="0.25">
      <c r="A81" t="str">
        <f>_xlfn.XLOOKUP(Tabela3[[#This Row],[ORDEM]],[1]BASE_PROGRAMAÇÃO!A:A,[1]BASE_PROGRAMAÇÃO!C:C,"")</f>
        <v>IMPLEMENTOS RODOVIARIOS</v>
      </c>
      <c r="B81">
        <f>_xlfn.XLOOKUP(Tabela3[[#This Row],[ORDEM]],[1]BASE_PROGRAMAÇÃO!A:A,[1]BASE_PROGRAMAÇÃO!B:B,"")</f>
        <v>16070146</v>
      </c>
      <c r="C81">
        <v>200330</v>
      </c>
      <c r="D81" t="str">
        <f>_xlfn.XLOOKUP(Tabela3[[#This Row],[Coluna3]],'[1]BASE DE PLANOS'!A:A,'[1]BASE DE PLANOS'!B:B,"")</f>
        <v>Primária</v>
      </c>
      <c r="E81" s="2">
        <f>_xlfn.XLOOKUP(Tabela3[[#This Row],[ORDEM]],[1]BASE_PROGRAMAÇÃO!A:A,[1]BASE_PROGRAMAÇÃO!D:D,"")</f>
        <v>46115</v>
      </c>
      <c r="F81" s="2" t="str">
        <f>_xlfn.XLOOKUP(Tabela3[[#This Row],[ORDEM]],[1]BASE_PROGRAMAÇÃO!A:A,[1]BASE_PROGRAMAÇÃO!O:O,"")</f>
        <v>INTERNA</v>
      </c>
      <c r="G81" s="2" t="str">
        <f>_xlfn.XLOOKUP(Tabela3[[#This Row],[ORDEM]],[1]BASE_PROGRAMAÇÃO!A:A,[1]BASE_PROGRAMAÇÃO!L:L,"")</f>
        <v>COLHEITA</v>
      </c>
      <c r="H81" t="str">
        <f>_xlfn.XLOOKUP(Tabela3[[#This Row],[ORDEM]],[2]S_POST!$C:$C,[2]S_POST!$AG:$AG,"")</f>
        <v xml:space="preserve"> 210000015</v>
      </c>
      <c r="I81" t="str">
        <f>_xlfn.XLOOKUP(Tabela3[[#This Row],[ORDEM]],[1]BASE_PROGRAMAÇÃO!A:A,[1]BASE_PROGRAMAÇÃO!$E:$E,"")</f>
        <v>Primária</v>
      </c>
      <c r="J81" t="str">
        <f>_xlfn.XLOOKUP(Tabela3[[#This Row],[ORDEM]],[1]ENCERRADAS!A:A,[1]ENCERRADAS!B:B,"")</f>
        <v>P</v>
      </c>
    </row>
    <row r="82" spans="1:10" x14ac:dyDescent="0.25">
      <c r="A82" t="str">
        <f>_xlfn.XLOOKUP(Tabela3[[#This Row],[ORDEM]],[1]BASE_PROGRAMAÇÃO!A:A,[1]BASE_PROGRAMAÇÃO!C:C,"")</f>
        <v>IMPLEMENTOS RODOVIARIOS</v>
      </c>
      <c r="B82">
        <f>_xlfn.XLOOKUP(Tabela3[[#This Row],[ORDEM]],[1]BASE_PROGRAMAÇÃO!A:A,[1]BASE_PROGRAMAÇÃO!B:B,"")</f>
        <v>16020823</v>
      </c>
      <c r="C82">
        <v>200329</v>
      </c>
      <c r="D82" t="str">
        <f>_xlfn.XLOOKUP(Tabela3[[#This Row],[Coluna3]],'[1]BASE DE PLANOS'!A:A,'[1]BASE DE PLANOS'!B:B,"")</f>
        <v>Primária</v>
      </c>
      <c r="E82" s="2">
        <f>_xlfn.XLOOKUP(Tabela3[[#This Row],[ORDEM]],[1]BASE_PROGRAMAÇÃO!A:A,[1]BASE_PROGRAMAÇÃO!D:D,"")</f>
        <v>46115</v>
      </c>
      <c r="F82" s="2" t="str">
        <f>_xlfn.XLOOKUP(Tabela3[[#This Row],[ORDEM]],[1]BASE_PROGRAMAÇÃO!A:A,[1]BASE_PROGRAMAÇÃO!O:O,"")</f>
        <v>INTERNA</v>
      </c>
      <c r="G82" s="2" t="str">
        <f>_xlfn.XLOOKUP(Tabela3[[#This Row],[ORDEM]],[1]BASE_PROGRAMAÇÃO!A:A,[1]BASE_PROGRAMAÇÃO!L:L,"")</f>
        <v>COLHEITA</v>
      </c>
      <c r="H82" t="str">
        <f>_xlfn.XLOOKUP(Tabela3[[#This Row],[ORDEM]],[2]S_POST!$C:$C,[2]S_POST!$AG:$AG,"")</f>
        <v xml:space="preserve"> 210000015</v>
      </c>
      <c r="I82" t="str">
        <f>_xlfn.XLOOKUP(Tabela3[[#This Row],[ORDEM]],[1]BASE_PROGRAMAÇÃO!A:A,[1]BASE_PROGRAMAÇÃO!$E:$E,"")</f>
        <v>Primária</v>
      </c>
      <c r="J82" t="str">
        <f>_xlfn.XLOOKUP(Tabela3[[#This Row],[ORDEM]],[1]ENCERRADAS!A:A,[1]ENCERRADAS!B:B,"")</f>
        <v>P</v>
      </c>
    </row>
    <row r="83" spans="1:10" x14ac:dyDescent="0.25">
      <c r="A83" t="str">
        <f>_xlfn.XLOOKUP(Tabela3[[#This Row],[ORDEM]],[1]BASE_PROGRAMAÇÃO!A:A,[1]BASE_PROGRAMAÇÃO!C:C,"")</f>
        <v>IMPLEMENTOS RODOVIARIOS</v>
      </c>
      <c r="B83">
        <f>_xlfn.XLOOKUP(Tabela3[[#This Row],[ORDEM]],[1]BASE_PROGRAMAÇÃO!A:A,[1]BASE_PROGRAMAÇÃO!B:B,"")</f>
        <v>16020821</v>
      </c>
      <c r="C83">
        <v>200328</v>
      </c>
      <c r="D83" t="str">
        <f>_xlfn.XLOOKUP(Tabela3[[#This Row],[Coluna3]],'[1]BASE DE PLANOS'!A:A,'[1]BASE DE PLANOS'!B:B,"")</f>
        <v>Primária</v>
      </c>
      <c r="E83" s="2">
        <f>_xlfn.XLOOKUP(Tabela3[[#This Row],[ORDEM]],[1]BASE_PROGRAMAÇÃO!A:A,[1]BASE_PROGRAMAÇÃO!D:D,"")</f>
        <v>46113</v>
      </c>
      <c r="F83" s="2" t="str">
        <f>_xlfn.XLOOKUP(Tabela3[[#This Row],[ORDEM]],[1]BASE_PROGRAMAÇÃO!A:A,[1]BASE_PROGRAMAÇÃO!O:O,"")</f>
        <v>INTERNA</v>
      </c>
      <c r="G83" s="2" t="str">
        <f>_xlfn.XLOOKUP(Tabela3[[#This Row],[ORDEM]],[1]BASE_PROGRAMAÇÃO!A:A,[1]BASE_PROGRAMAÇÃO!L:L,"")</f>
        <v>COLHEITA</v>
      </c>
      <c r="H83" t="str">
        <f>_xlfn.XLOOKUP(Tabela3[[#This Row],[ORDEM]],[2]S_POST!$C:$C,[2]S_POST!$AG:$AG,"")</f>
        <v xml:space="preserve"> 210000015</v>
      </c>
      <c r="I83" t="str">
        <f>_xlfn.XLOOKUP(Tabela3[[#This Row],[ORDEM]],[1]BASE_PROGRAMAÇÃO!A:A,[1]BASE_PROGRAMAÇÃO!$E:$E,"")</f>
        <v>Primária</v>
      </c>
      <c r="J83" t="str">
        <f>_xlfn.XLOOKUP(Tabela3[[#This Row],[ORDEM]],[1]ENCERRADAS!A:A,[1]ENCERRADAS!B:B,"")</f>
        <v>P</v>
      </c>
    </row>
    <row r="84" spans="1:10" x14ac:dyDescent="0.25">
      <c r="A84" t="str">
        <f>_xlfn.XLOOKUP(Tabela3[[#This Row],[ORDEM]],[1]BASE_PROGRAMAÇÃO!A:A,[1]BASE_PROGRAMAÇÃO!C:C,"")</f>
        <v>IMPLEMENTOS RODOVIARIOS</v>
      </c>
      <c r="B84">
        <f>_xlfn.XLOOKUP(Tabela3[[#This Row],[ORDEM]],[1]BASE_PROGRAMAÇÃO!A:A,[1]BASE_PROGRAMAÇÃO!B:B,"")</f>
        <v>16020820</v>
      </c>
      <c r="C84">
        <v>200327</v>
      </c>
      <c r="D84" t="str">
        <f>_xlfn.XLOOKUP(Tabela3[[#This Row],[Coluna3]],'[1]BASE DE PLANOS'!A:A,'[1]BASE DE PLANOS'!B:B,"")</f>
        <v>Primária</v>
      </c>
      <c r="E84" s="2">
        <f>_xlfn.XLOOKUP(Tabela3[[#This Row],[ORDEM]],[1]BASE_PROGRAMAÇÃO!A:A,[1]BASE_PROGRAMAÇÃO!D:D,"")</f>
        <v>46114</v>
      </c>
      <c r="F84" s="2" t="str">
        <f>_xlfn.XLOOKUP(Tabela3[[#This Row],[ORDEM]],[1]BASE_PROGRAMAÇÃO!A:A,[1]BASE_PROGRAMAÇÃO!O:O,"")</f>
        <v>INTERNA</v>
      </c>
      <c r="G84" s="2" t="str">
        <f>_xlfn.XLOOKUP(Tabela3[[#This Row],[ORDEM]],[1]BASE_PROGRAMAÇÃO!A:A,[1]BASE_PROGRAMAÇÃO!L:L,"")</f>
        <v>COLHEITA</v>
      </c>
      <c r="H84" t="str">
        <f>_xlfn.XLOOKUP(Tabela3[[#This Row],[ORDEM]],[2]S_POST!$C:$C,[2]S_POST!$AG:$AG,"")</f>
        <v xml:space="preserve"> 210000015</v>
      </c>
      <c r="I84" t="str">
        <f>_xlfn.XLOOKUP(Tabela3[[#This Row],[ORDEM]],[1]BASE_PROGRAMAÇÃO!A:A,[1]BASE_PROGRAMAÇÃO!$E:$E,"")</f>
        <v>Primária</v>
      </c>
      <c r="J84" t="str">
        <f>_xlfn.XLOOKUP(Tabela3[[#This Row],[ORDEM]],[1]ENCERRADAS!A:A,[1]ENCERRADAS!B:B,"")</f>
        <v>P</v>
      </c>
    </row>
    <row r="85" spans="1:10" x14ac:dyDescent="0.25">
      <c r="A85" t="str">
        <f>_xlfn.XLOOKUP(Tabela3[[#This Row],[ORDEM]],[1]BASE_PROGRAMAÇÃO!A:A,[1]BASE_PROGRAMAÇÃO!C:C,"")</f>
        <v>IMPLEMENTOS RODOVIARIOS</v>
      </c>
      <c r="B85">
        <f>_xlfn.XLOOKUP(Tabela3[[#This Row],[ORDEM]],[1]BASE_PROGRAMAÇÃO!A:A,[1]BASE_PROGRAMAÇÃO!B:B,"")</f>
        <v>16020819</v>
      </c>
      <c r="C85">
        <v>200326</v>
      </c>
      <c r="D85" t="str">
        <f>_xlfn.XLOOKUP(Tabela3[[#This Row],[Coluna3]],'[1]BASE DE PLANOS'!A:A,'[1]BASE DE PLANOS'!B:B,"")</f>
        <v>Primária</v>
      </c>
      <c r="E85" s="2">
        <f>_xlfn.XLOOKUP(Tabela3[[#This Row],[ORDEM]],[1]BASE_PROGRAMAÇÃO!A:A,[1]BASE_PROGRAMAÇÃO!D:D,"")</f>
        <v>46113</v>
      </c>
      <c r="F85" s="2" t="str">
        <f>_xlfn.XLOOKUP(Tabela3[[#This Row],[ORDEM]],[1]BASE_PROGRAMAÇÃO!A:A,[1]BASE_PROGRAMAÇÃO!O:O,"")</f>
        <v>INTERNA</v>
      </c>
      <c r="G85" s="2" t="str">
        <f>_xlfn.XLOOKUP(Tabela3[[#This Row],[ORDEM]],[1]BASE_PROGRAMAÇÃO!A:A,[1]BASE_PROGRAMAÇÃO!L:L,"")</f>
        <v>COLHEITA</v>
      </c>
      <c r="H85" t="str">
        <f>_xlfn.XLOOKUP(Tabela3[[#This Row],[ORDEM]],[2]S_POST!$C:$C,[2]S_POST!$AG:$AG,"")</f>
        <v xml:space="preserve"> 210000015</v>
      </c>
      <c r="I85" t="str">
        <f>_xlfn.XLOOKUP(Tabela3[[#This Row],[ORDEM]],[1]BASE_PROGRAMAÇÃO!A:A,[1]BASE_PROGRAMAÇÃO!$E:$E,"")</f>
        <v>Primária</v>
      </c>
      <c r="J85" t="str">
        <f>_xlfn.XLOOKUP(Tabela3[[#This Row],[ORDEM]],[1]ENCERRADAS!A:A,[1]ENCERRADAS!B:B,"")</f>
        <v>P</v>
      </c>
    </row>
    <row r="86" spans="1:10" x14ac:dyDescent="0.25">
      <c r="A86" t="str">
        <f>_xlfn.XLOOKUP(Tabela3[[#This Row],[ORDEM]],[1]BASE_PROGRAMAÇÃO!A:A,[1]BASE_PROGRAMAÇÃO!C:C,"")</f>
        <v>IMPLEMENTOS RODOVIARIOS</v>
      </c>
      <c r="B86">
        <f>_xlfn.XLOOKUP(Tabela3[[#This Row],[ORDEM]],[1]BASE_PROGRAMAÇÃO!A:A,[1]BASE_PROGRAMAÇÃO!B:B,"")</f>
        <v>16020817</v>
      </c>
      <c r="C86">
        <v>200325</v>
      </c>
      <c r="D86" t="str">
        <f>_xlfn.XLOOKUP(Tabela3[[#This Row],[Coluna3]],'[1]BASE DE PLANOS'!A:A,'[1]BASE DE PLANOS'!B:B,"")</f>
        <v>Primária</v>
      </c>
      <c r="E86" s="2">
        <f>_xlfn.XLOOKUP(Tabela3[[#This Row],[ORDEM]],[1]BASE_PROGRAMAÇÃO!A:A,[1]BASE_PROGRAMAÇÃO!D:D,"")</f>
        <v>46112</v>
      </c>
      <c r="F86" s="2" t="str">
        <f>_xlfn.XLOOKUP(Tabela3[[#This Row],[ORDEM]],[1]BASE_PROGRAMAÇÃO!A:A,[1]BASE_PROGRAMAÇÃO!O:O,"")</f>
        <v>INTERNA</v>
      </c>
      <c r="G86" s="2" t="str">
        <f>_xlfn.XLOOKUP(Tabela3[[#This Row],[ORDEM]],[1]BASE_PROGRAMAÇÃO!A:A,[1]BASE_PROGRAMAÇÃO!L:L,"")</f>
        <v>COLHEITA</v>
      </c>
      <c r="H86" t="str">
        <f>_xlfn.XLOOKUP(Tabela3[[#This Row],[ORDEM]],[2]S_POST!$C:$C,[2]S_POST!$AG:$AG,"")</f>
        <v xml:space="preserve"> 210000015</v>
      </c>
      <c r="I86" t="str">
        <f>_xlfn.XLOOKUP(Tabela3[[#This Row],[ORDEM]],[1]BASE_PROGRAMAÇÃO!A:A,[1]BASE_PROGRAMAÇÃO!$E:$E,"")</f>
        <v>Primária</v>
      </c>
      <c r="J86" t="str">
        <f>_xlfn.XLOOKUP(Tabela3[[#This Row],[ORDEM]],[1]ENCERRADAS!A:A,[1]ENCERRADAS!B:B,"")</f>
        <v>P</v>
      </c>
    </row>
    <row r="87" spans="1:10" x14ac:dyDescent="0.25">
      <c r="A87" t="str">
        <f>_xlfn.XLOOKUP(Tabela3[[#This Row],[ORDEM]],[1]BASE_PROGRAMAÇÃO!A:A,[1]BASE_PROGRAMAÇÃO!C:C,"")</f>
        <v>IMPLEMENTOS RODOVIARIOS</v>
      </c>
      <c r="B87">
        <f>_xlfn.XLOOKUP(Tabela3[[#This Row],[ORDEM]],[1]BASE_PROGRAMAÇÃO!A:A,[1]BASE_PROGRAMAÇÃO!B:B,"")</f>
        <v>16020815</v>
      </c>
      <c r="C87">
        <v>200324</v>
      </c>
      <c r="D87" t="str">
        <f>_xlfn.XLOOKUP(Tabela3[[#This Row],[Coluna3]],'[1]BASE DE PLANOS'!A:A,'[1]BASE DE PLANOS'!B:B,"")</f>
        <v>Primária</v>
      </c>
      <c r="E87" s="2">
        <f>_xlfn.XLOOKUP(Tabela3[[#This Row],[ORDEM]],[1]BASE_PROGRAMAÇÃO!A:A,[1]BASE_PROGRAMAÇÃO!D:D,"")</f>
        <v>46113</v>
      </c>
      <c r="F87" s="2" t="str">
        <f>_xlfn.XLOOKUP(Tabela3[[#This Row],[ORDEM]],[1]BASE_PROGRAMAÇÃO!A:A,[1]BASE_PROGRAMAÇÃO!O:O,"")</f>
        <v>INTERNA</v>
      </c>
      <c r="G87" s="2" t="str">
        <f>_xlfn.XLOOKUP(Tabela3[[#This Row],[ORDEM]],[1]BASE_PROGRAMAÇÃO!A:A,[1]BASE_PROGRAMAÇÃO!L:L,"")</f>
        <v>COLHEITA</v>
      </c>
      <c r="H87" t="str">
        <f>_xlfn.XLOOKUP(Tabela3[[#This Row],[ORDEM]],[2]S_POST!$C:$C,[2]S_POST!$AG:$AG,"")</f>
        <v xml:space="preserve"> 210000015</v>
      </c>
      <c r="I87" t="str">
        <f>_xlfn.XLOOKUP(Tabela3[[#This Row],[ORDEM]],[1]BASE_PROGRAMAÇÃO!A:A,[1]BASE_PROGRAMAÇÃO!$E:$E,"")</f>
        <v>Primária</v>
      </c>
      <c r="J87" t="str">
        <f>_xlfn.XLOOKUP(Tabela3[[#This Row],[ORDEM]],[1]ENCERRADAS!A:A,[1]ENCERRADAS!B:B,"")</f>
        <v>P</v>
      </c>
    </row>
    <row r="88" spans="1:10" x14ac:dyDescent="0.25">
      <c r="A88" t="str">
        <f>_xlfn.XLOOKUP(Tabela3[[#This Row],[ORDEM]],[1]BASE_PROGRAMAÇÃO!A:A,[1]BASE_PROGRAMAÇÃO!C:C,"")</f>
        <v>IMPLEMENTOS RODOVIARIOS</v>
      </c>
      <c r="B88">
        <f>_xlfn.XLOOKUP(Tabela3[[#This Row],[ORDEM]],[1]BASE_PROGRAMAÇÃO!A:A,[1]BASE_PROGRAMAÇÃO!B:B,"")</f>
        <v>16020812</v>
      </c>
      <c r="C88">
        <v>200323</v>
      </c>
      <c r="D88" t="str">
        <f>_xlfn.XLOOKUP(Tabela3[[#This Row],[Coluna3]],'[1]BASE DE PLANOS'!A:A,'[1]BASE DE PLANOS'!B:B,"")</f>
        <v>Primária</v>
      </c>
      <c r="E88" s="2">
        <f>_xlfn.XLOOKUP(Tabela3[[#This Row],[ORDEM]],[1]BASE_PROGRAMAÇÃO!A:A,[1]BASE_PROGRAMAÇÃO!D:D,"")</f>
        <v>46115</v>
      </c>
      <c r="F88" s="2" t="str">
        <f>_xlfn.XLOOKUP(Tabela3[[#This Row],[ORDEM]],[1]BASE_PROGRAMAÇÃO!A:A,[1]BASE_PROGRAMAÇÃO!O:O,"")</f>
        <v>INTERNA</v>
      </c>
      <c r="G88" s="2" t="str">
        <f>_xlfn.XLOOKUP(Tabela3[[#This Row],[ORDEM]],[1]BASE_PROGRAMAÇÃO!A:A,[1]BASE_PROGRAMAÇÃO!L:L,"")</f>
        <v>COLHEITA</v>
      </c>
      <c r="H88" t="str">
        <f>_xlfn.XLOOKUP(Tabela3[[#This Row],[ORDEM]],[2]S_POST!$C:$C,[2]S_POST!$AG:$AG,"")</f>
        <v xml:space="preserve"> 210000015</v>
      </c>
      <c r="I88" t="str">
        <f>_xlfn.XLOOKUP(Tabela3[[#This Row],[ORDEM]],[1]BASE_PROGRAMAÇÃO!A:A,[1]BASE_PROGRAMAÇÃO!$E:$E,"")</f>
        <v>Primária</v>
      </c>
      <c r="J88" t="str">
        <f>_xlfn.XLOOKUP(Tabela3[[#This Row],[ORDEM]],[1]ENCERRADAS!A:A,[1]ENCERRADAS!B:B,"")</f>
        <v>P</v>
      </c>
    </row>
    <row r="89" spans="1:10" x14ac:dyDescent="0.25">
      <c r="A89" t="str">
        <f>_xlfn.XLOOKUP(Tabela3[[#This Row],[ORDEM]],[1]BASE_PROGRAMAÇÃO!A:A,[1]BASE_PROGRAMAÇÃO!C:C,"")</f>
        <v>IMPLEMENTOS RODOVIARIOS</v>
      </c>
      <c r="B89">
        <f>_xlfn.XLOOKUP(Tabela3[[#This Row],[ORDEM]],[1]BASE_PROGRAMAÇÃO!A:A,[1]BASE_PROGRAMAÇÃO!B:B,"")</f>
        <v>16020809</v>
      </c>
      <c r="C89">
        <v>200322</v>
      </c>
      <c r="D89" t="str">
        <f>_xlfn.XLOOKUP(Tabela3[[#This Row],[Coluna3]],'[1]BASE DE PLANOS'!A:A,'[1]BASE DE PLANOS'!B:B,"")</f>
        <v>Primária</v>
      </c>
      <c r="E89" s="2">
        <f>_xlfn.XLOOKUP(Tabela3[[#This Row],[ORDEM]],[1]BASE_PROGRAMAÇÃO!A:A,[1]BASE_PROGRAMAÇÃO!D:D,"")</f>
        <v>46111</v>
      </c>
      <c r="F89" s="2" t="str">
        <f>_xlfn.XLOOKUP(Tabela3[[#This Row],[ORDEM]],[1]BASE_PROGRAMAÇÃO!A:A,[1]BASE_PROGRAMAÇÃO!O:O,"")</f>
        <v>INTERNA</v>
      </c>
      <c r="G89" s="2" t="str">
        <f>_xlfn.XLOOKUP(Tabela3[[#This Row],[ORDEM]],[1]BASE_PROGRAMAÇÃO!A:A,[1]BASE_PROGRAMAÇÃO!L:L,"")</f>
        <v>COLHEITA</v>
      </c>
      <c r="H89" t="str">
        <f>_xlfn.XLOOKUP(Tabela3[[#This Row],[ORDEM]],[2]S_POST!$C:$C,[2]S_POST!$AG:$AG,"")</f>
        <v xml:space="preserve"> 210000015</v>
      </c>
      <c r="I89" t="str">
        <f>_xlfn.XLOOKUP(Tabela3[[#This Row],[ORDEM]],[1]BASE_PROGRAMAÇÃO!A:A,[1]BASE_PROGRAMAÇÃO!$E:$E,"")</f>
        <v>Primária</v>
      </c>
      <c r="J89" t="str">
        <f>_xlfn.XLOOKUP(Tabela3[[#This Row],[ORDEM]],[1]ENCERRADAS!A:A,[1]ENCERRADAS!B:B,"")</f>
        <v>P</v>
      </c>
    </row>
    <row r="90" spans="1:10" x14ac:dyDescent="0.25">
      <c r="A90" t="str">
        <f>_xlfn.XLOOKUP(Tabela3[[#This Row],[ORDEM]],[1]BASE_PROGRAMAÇÃO!A:A,[1]BASE_PROGRAMAÇÃO!C:C,"")</f>
        <v>IMPLEMENTOS RODOVIARIOS</v>
      </c>
      <c r="B90">
        <f>_xlfn.XLOOKUP(Tabela3[[#This Row],[ORDEM]],[1]BASE_PROGRAMAÇÃO!A:A,[1]BASE_PROGRAMAÇÃO!B:B,"")</f>
        <v>16020808</v>
      </c>
      <c r="C90">
        <v>200321</v>
      </c>
      <c r="D90" t="str">
        <f>_xlfn.XLOOKUP(Tabela3[[#This Row],[Coluna3]],'[1]BASE DE PLANOS'!A:A,'[1]BASE DE PLANOS'!B:B,"")</f>
        <v>Primária</v>
      </c>
      <c r="E90" s="2">
        <f>_xlfn.XLOOKUP(Tabela3[[#This Row],[ORDEM]],[1]BASE_PROGRAMAÇÃO!A:A,[1]BASE_PROGRAMAÇÃO!D:D,"")</f>
        <v>46115</v>
      </c>
      <c r="F90" s="2" t="str">
        <f>_xlfn.XLOOKUP(Tabela3[[#This Row],[ORDEM]],[1]BASE_PROGRAMAÇÃO!A:A,[1]BASE_PROGRAMAÇÃO!O:O,"")</f>
        <v>INTERNA</v>
      </c>
      <c r="G90" s="2" t="str">
        <f>_xlfn.XLOOKUP(Tabela3[[#This Row],[ORDEM]],[1]BASE_PROGRAMAÇÃO!A:A,[1]BASE_PROGRAMAÇÃO!L:L,"")</f>
        <v>COLHEITA</v>
      </c>
      <c r="H90" t="str">
        <f>_xlfn.XLOOKUP(Tabela3[[#This Row],[ORDEM]],[2]S_POST!$C:$C,[2]S_POST!$AG:$AG,"")</f>
        <v xml:space="preserve"> 210000015</v>
      </c>
      <c r="I90" t="str">
        <f>_xlfn.XLOOKUP(Tabela3[[#This Row],[ORDEM]],[1]BASE_PROGRAMAÇÃO!A:A,[1]BASE_PROGRAMAÇÃO!$E:$E,"")</f>
        <v>Primária</v>
      </c>
      <c r="J90" t="str">
        <f>_xlfn.XLOOKUP(Tabela3[[#This Row],[ORDEM]],[1]ENCERRADAS!A:A,[1]ENCERRADAS!B:B,"")</f>
        <v>P</v>
      </c>
    </row>
    <row r="91" spans="1:10" x14ac:dyDescent="0.25">
      <c r="A91" t="str">
        <f>_xlfn.XLOOKUP(Tabela3[[#This Row],[ORDEM]],[1]BASE_PROGRAMAÇÃO!A:A,[1]BASE_PROGRAMAÇÃO!C:C,"")</f>
        <v>IMPLEMENTOS RODOVIARIOS</v>
      </c>
      <c r="B91">
        <f>_xlfn.XLOOKUP(Tabela3[[#This Row],[ORDEM]],[1]BASE_PROGRAMAÇÃO!A:A,[1]BASE_PROGRAMAÇÃO!B:B,"")</f>
        <v>16020805</v>
      </c>
      <c r="C91">
        <v>200320</v>
      </c>
      <c r="D91" t="str">
        <f>_xlfn.XLOOKUP(Tabela3[[#This Row],[Coluna3]],'[1]BASE DE PLANOS'!A:A,'[1]BASE DE PLANOS'!B:B,"")</f>
        <v>Primária</v>
      </c>
      <c r="E91" s="2">
        <f>_xlfn.XLOOKUP(Tabela3[[#This Row],[ORDEM]],[1]BASE_PROGRAMAÇÃO!A:A,[1]BASE_PROGRAMAÇÃO!D:D,"")</f>
        <v>46116</v>
      </c>
      <c r="F91" s="2" t="str">
        <f>_xlfn.XLOOKUP(Tabela3[[#This Row],[ORDEM]],[1]BASE_PROGRAMAÇÃO!A:A,[1]BASE_PROGRAMAÇÃO!O:O,"")</f>
        <v>INTERNA</v>
      </c>
      <c r="G91" s="2" t="str">
        <f>_xlfn.XLOOKUP(Tabela3[[#This Row],[ORDEM]],[1]BASE_PROGRAMAÇÃO!A:A,[1]BASE_PROGRAMAÇÃO!L:L,"")</f>
        <v>COLHEITA</v>
      </c>
      <c r="H91" t="str">
        <f>_xlfn.XLOOKUP(Tabela3[[#This Row],[ORDEM]],[2]S_POST!$C:$C,[2]S_POST!$AG:$AG,"")</f>
        <v xml:space="preserve"> 210000015</v>
      </c>
      <c r="I91" t="str">
        <f>_xlfn.XLOOKUP(Tabela3[[#This Row],[ORDEM]],[1]BASE_PROGRAMAÇÃO!A:A,[1]BASE_PROGRAMAÇÃO!$E:$E,"")</f>
        <v>Primária</v>
      </c>
      <c r="J91" t="str">
        <f>_xlfn.XLOOKUP(Tabela3[[#This Row],[ORDEM]],[1]ENCERRADAS!A:A,[1]ENCERRADAS!B:B,"")</f>
        <v>P</v>
      </c>
    </row>
    <row r="92" spans="1:10" x14ac:dyDescent="0.25">
      <c r="A92" t="str">
        <f>_xlfn.XLOOKUP(Tabela3[[#This Row],[ORDEM]],[1]BASE_PROGRAMAÇÃO!A:A,[1]BASE_PROGRAMAÇÃO!C:C,"")</f>
        <v>IMPLEMENTOS RODOVIARIOS</v>
      </c>
      <c r="B92">
        <f>_xlfn.XLOOKUP(Tabela3[[#This Row],[ORDEM]],[1]BASE_PROGRAMAÇÃO!A:A,[1]BASE_PROGRAMAÇÃO!B:B,"")</f>
        <v>16020803</v>
      </c>
      <c r="C92">
        <v>200319</v>
      </c>
      <c r="D92" t="str">
        <f>_xlfn.XLOOKUP(Tabela3[[#This Row],[Coluna3]],'[1]BASE DE PLANOS'!A:A,'[1]BASE DE PLANOS'!B:B,"")</f>
        <v>Primária</v>
      </c>
      <c r="E92" s="2">
        <f>_xlfn.XLOOKUP(Tabela3[[#This Row],[ORDEM]],[1]BASE_PROGRAMAÇÃO!A:A,[1]BASE_PROGRAMAÇÃO!D:D,"")</f>
        <v>46112</v>
      </c>
      <c r="F92" s="2" t="str">
        <f>_xlfn.XLOOKUP(Tabela3[[#This Row],[ORDEM]],[1]BASE_PROGRAMAÇÃO!A:A,[1]BASE_PROGRAMAÇÃO!O:O,"")</f>
        <v>INTERNA</v>
      </c>
      <c r="G92" s="2" t="str">
        <f>_xlfn.XLOOKUP(Tabela3[[#This Row],[ORDEM]],[1]BASE_PROGRAMAÇÃO!A:A,[1]BASE_PROGRAMAÇÃO!L:L,"")</f>
        <v>COLHEITA</v>
      </c>
      <c r="H92" t="str">
        <f>_xlfn.XLOOKUP(Tabela3[[#This Row],[ORDEM]],[2]S_POST!$C:$C,[2]S_POST!$AG:$AG,"")</f>
        <v xml:space="preserve"> 210000015</v>
      </c>
      <c r="I92" t="str">
        <f>_xlfn.XLOOKUP(Tabela3[[#This Row],[ORDEM]],[1]BASE_PROGRAMAÇÃO!A:A,[1]BASE_PROGRAMAÇÃO!$E:$E,"")</f>
        <v>Primária</v>
      </c>
      <c r="J92" t="str">
        <f>_xlfn.XLOOKUP(Tabela3[[#This Row],[ORDEM]],[1]ENCERRADAS!A:A,[1]ENCERRADAS!B:B,"")</f>
        <v>P</v>
      </c>
    </row>
    <row r="93" spans="1:10" x14ac:dyDescent="0.25">
      <c r="A93" t="str">
        <f>_xlfn.XLOOKUP(Tabela3[[#This Row],[ORDEM]],[1]BASE_PROGRAMAÇÃO!A:A,[1]BASE_PROGRAMAÇÃO!C:C,"")</f>
        <v>IMPLEMENTOS RODOVIARIOS</v>
      </c>
      <c r="B93">
        <f>_xlfn.XLOOKUP(Tabela3[[#This Row],[ORDEM]],[1]BASE_PROGRAMAÇÃO!A:A,[1]BASE_PROGRAMAÇÃO!B:B,"")</f>
        <v>16070078</v>
      </c>
      <c r="C93">
        <v>200318</v>
      </c>
      <c r="D93" t="str">
        <f>_xlfn.XLOOKUP(Tabela3[[#This Row],[Coluna3]],'[1]BASE DE PLANOS'!A:A,'[1]BASE DE PLANOS'!B:B,"")</f>
        <v>Primária</v>
      </c>
      <c r="E93" s="2">
        <f>_xlfn.XLOOKUP(Tabela3[[#This Row],[ORDEM]],[1]BASE_PROGRAMAÇÃO!A:A,[1]BASE_PROGRAMAÇÃO!D:D,"")</f>
        <v>46111</v>
      </c>
      <c r="F93" s="2" t="str">
        <f>_xlfn.XLOOKUP(Tabela3[[#This Row],[ORDEM]],[1]BASE_PROGRAMAÇÃO!A:A,[1]BASE_PROGRAMAÇÃO!O:O,"")</f>
        <v>INTERNA</v>
      </c>
      <c r="G93" s="2" t="str">
        <f>_xlfn.XLOOKUP(Tabela3[[#This Row],[ORDEM]],[1]BASE_PROGRAMAÇÃO!A:A,[1]BASE_PROGRAMAÇÃO!L:L,"")</f>
        <v>COLHEITA</v>
      </c>
      <c r="H93" t="str">
        <f>_xlfn.XLOOKUP(Tabela3[[#This Row],[ORDEM]],[2]S_POST!$C:$C,[2]S_POST!$AG:$AG,"")</f>
        <v xml:space="preserve"> 210000015</v>
      </c>
      <c r="I93" t="str">
        <f>_xlfn.XLOOKUP(Tabela3[[#This Row],[ORDEM]],[1]BASE_PROGRAMAÇÃO!A:A,[1]BASE_PROGRAMAÇÃO!$E:$E,"")</f>
        <v>Primária</v>
      </c>
      <c r="J93" t="str">
        <f>_xlfn.XLOOKUP(Tabela3[[#This Row],[ORDEM]],[1]ENCERRADAS!A:A,[1]ENCERRADAS!B:B,"")</f>
        <v>P</v>
      </c>
    </row>
    <row r="94" spans="1:10" x14ac:dyDescent="0.25">
      <c r="A94" t="str">
        <f>_xlfn.XLOOKUP(Tabela3[[#This Row],[ORDEM]],[1]BASE_PROGRAMAÇÃO!A:A,[1]BASE_PROGRAMAÇÃO!C:C,"")</f>
        <v>IMPLEMENTOS RODOVIARIOS</v>
      </c>
      <c r="B94">
        <f>_xlfn.XLOOKUP(Tabela3[[#This Row],[ORDEM]],[1]BASE_PROGRAMAÇÃO!A:A,[1]BASE_PROGRAMAÇÃO!B:B,"")</f>
        <v>16070050</v>
      </c>
      <c r="C94">
        <v>200317</v>
      </c>
      <c r="D94" t="str">
        <f>_xlfn.XLOOKUP(Tabela3[[#This Row],[Coluna3]],'[1]BASE DE PLANOS'!A:A,'[1]BASE DE PLANOS'!B:B,"")</f>
        <v>Primária</v>
      </c>
      <c r="E94" s="2">
        <f>_xlfn.XLOOKUP(Tabela3[[#This Row],[ORDEM]],[1]BASE_PROGRAMAÇÃO!A:A,[1]BASE_PROGRAMAÇÃO!D:D,"")</f>
        <v>46112</v>
      </c>
      <c r="F94" s="2" t="str">
        <f>_xlfn.XLOOKUP(Tabela3[[#This Row],[ORDEM]],[1]BASE_PROGRAMAÇÃO!A:A,[1]BASE_PROGRAMAÇÃO!O:O,"")</f>
        <v>INTERNA</v>
      </c>
      <c r="G94" s="2" t="str">
        <f>_xlfn.XLOOKUP(Tabela3[[#This Row],[ORDEM]],[1]BASE_PROGRAMAÇÃO!A:A,[1]BASE_PROGRAMAÇÃO!L:L,"")</f>
        <v>COLHEITA</v>
      </c>
      <c r="H94" t="str">
        <f>_xlfn.XLOOKUP(Tabela3[[#This Row],[ORDEM]],[2]S_POST!$C:$C,[2]S_POST!$AG:$AG,"")</f>
        <v xml:space="preserve"> 210000015</v>
      </c>
      <c r="I94" t="str">
        <f>_xlfn.XLOOKUP(Tabela3[[#This Row],[ORDEM]],[1]BASE_PROGRAMAÇÃO!A:A,[1]BASE_PROGRAMAÇÃO!$E:$E,"")</f>
        <v>Primária</v>
      </c>
      <c r="J94" t="str">
        <f>_xlfn.XLOOKUP(Tabela3[[#This Row],[ORDEM]],[1]ENCERRADAS!A:A,[1]ENCERRADAS!B:B,"")</f>
        <v>P</v>
      </c>
    </row>
    <row r="95" spans="1:10" x14ac:dyDescent="0.25">
      <c r="A95" t="str">
        <f>_xlfn.XLOOKUP(Tabela3[[#This Row],[ORDEM]],[1]BASE_PROGRAMAÇÃO!A:A,[1]BASE_PROGRAMAÇÃO!C:C,"")</f>
        <v>IMPLEMENTOS RODOVIARIOS</v>
      </c>
      <c r="B95">
        <f>_xlfn.XLOOKUP(Tabela3[[#This Row],[ORDEM]],[1]BASE_PROGRAMAÇÃO!A:A,[1]BASE_PROGRAMAÇÃO!B:B,"")</f>
        <v>16070048</v>
      </c>
      <c r="C95">
        <v>200316</v>
      </c>
      <c r="D95" t="str">
        <f>_xlfn.XLOOKUP(Tabela3[[#This Row],[Coluna3]],'[1]BASE DE PLANOS'!A:A,'[1]BASE DE PLANOS'!B:B,"")</f>
        <v>Primária</v>
      </c>
      <c r="E95" s="2">
        <f>_xlfn.XLOOKUP(Tabela3[[#This Row],[ORDEM]],[1]BASE_PROGRAMAÇÃO!A:A,[1]BASE_PROGRAMAÇÃO!D:D,"")</f>
        <v>46115</v>
      </c>
      <c r="F95" s="2" t="str">
        <f>_xlfn.XLOOKUP(Tabela3[[#This Row],[ORDEM]],[1]BASE_PROGRAMAÇÃO!A:A,[1]BASE_PROGRAMAÇÃO!O:O,"")</f>
        <v>INTERNA</v>
      </c>
      <c r="G95" s="2" t="str">
        <f>_xlfn.XLOOKUP(Tabela3[[#This Row],[ORDEM]],[1]BASE_PROGRAMAÇÃO!A:A,[1]BASE_PROGRAMAÇÃO!L:L,"")</f>
        <v>COLHEITA</v>
      </c>
      <c r="H95" t="str">
        <f>_xlfn.XLOOKUP(Tabela3[[#This Row],[ORDEM]],[2]S_POST!$C:$C,[2]S_POST!$AG:$AG,"")</f>
        <v xml:space="preserve"> 210000015</v>
      </c>
      <c r="I95" t="str">
        <f>_xlfn.XLOOKUP(Tabela3[[#This Row],[ORDEM]],[1]BASE_PROGRAMAÇÃO!A:A,[1]BASE_PROGRAMAÇÃO!$E:$E,"")</f>
        <v>Primária</v>
      </c>
      <c r="J95" t="str">
        <f>_xlfn.XLOOKUP(Tabela3[[#This Row],[ORDEM]],[1]ENCERRADAS!A:A,[1]ENCERRADAS!B:B,"")</f>
        <v>P</v>
      </c>
    </row>
    <row r="96" spans="1:10" x14ac:dyDescent="0.25">
      <c r="A96" t="str">
        <f>_xlfn.XLOOKUP(Tabela3[[#This Row],[ORDEM]],[1]BASE_PROGRAMAÇÃO!A:A,[1]BASE_PROGRAMAÇÃO!C:C,"")</f>
        <v>IMPLEMENTOS RODOVIARIOS</v>
      </c>
      <c r="B96">
        <f>_xlfn.XLOOKUP(Tabela3[[#This Row],[ORDEM]],[1]BASE_PROGRAMAÇÃO!A:A,[1]BASE_PROGRAMAÇÃO!B:B,"")</f>
        <v>16070039</v>
      </c>
      <c r="C96">
        <v>200315</v>
      </c>
      <c r="D96" t="str">
        <f>_xlfn.XLOOKUP(Tabela3[[#This Row],[Coluna3]],'[1]BASE DE PLANOS'!A:A,'[1]BASE DE PLANOS'!B:B,"")</f>
        <v>Primária</v>
      </c>
      <c r="E96" s="2">
        <f>_xlfn.XLOOKUP(Tabela3[[#This Row],[ORDEM]],[1]BASE_PROGRAMAÇÃO!A:A,[1]BASE_PROGRAMAÇÃO!D:D,"")</f>
        <v>46114</v>
      </c>
      <c r="F96" s="2" t="str">
        <f>_xlfn.XLOOKUP(Tabela3[[#This Row],[ORDEM]],[1]BASE_PROGRAMAÇÃO!A:A,[1]BASE_PROGRAMAÇÃO!O:O,"")</f>
        <v>INTERNA</v>
      </c>
      <c r="G96" s="2" t="str">
        <f>_xlfn.XLOOKUP(Tabela3[[#This Row],[ORDEM]],[1]BASE_PROGRAMAÇÃO!A:A,[1]BASE_PROGRAMAÇÃO!L:L,"")</f>
        <v>COLHEITA</v>
      </c>
      <c r="H96" t="str">
        <f>_xlfn.XLOOKUP(Tabela3[[#This Row],[ORDEM]],[2]S_POST!$C:$C,[2]S_POST!$AG:$AG,"")</f>
        <v xml:space="preserve"> 210000015</v>
      </c>
      <c r="I96" t="str">
        <f>_xlfn.XLOOKUP(Tabela3[[#This Row],[ORDEM]],[1]BASE_PROGRAMAÇÃO!A:A,[1]BASE_PROGRAMAÇÃO!$E:$E,"")</f>
        <v>Primária</v>
      </c>
      <c r="J96" t="str">
        <f>_xlfn.XLOOKUP(Tabela3[[#This Row],[ORDEM]],[1]ENCERRADAS!A:A,[1]ENCERRADAS!B:B,"")</f>
        <v>P</v>
      </c>
    </row>
    <row r="97" spans="1:10" x14ac:dyDescent="0.25">
      <c r="A97" t="str">
        <f>_xlfn.XLOOKUP(Tabela3[[#This Row],[ORDEM]],[1]BASE_PROGRAMAÇÃO!A:A,[1]BASE_PROGRAMAÇÃO!C:C,"")</f>
        <v>IMPLEMENTOS RODOVIARIOS</v>
      </c>
      <c r="B97">
        <f>_xlfn.XLOOKUP(Tabela3[[#This Row],[ORDEM]],[1]BASE_PROGRAMAÇÃO!A:A,[1]BASE_PROGRAMAÇÃO!B:B,"")</f>
        <v>16020471</v>
      </c>
      <c r="C97">
        <v>200314</v>
      </c>
      <c r="D97" t="str">
        <f>_xlfn.XLOOKUP(Tabela3[[#This Row],[Coluna3]],'[1]BASE DE PLANOS'!A:A,'[1]BASE DE PLANOS'!B:B,"")</f>
        <v>Primária</v>
      </c>
      <c r="E97" s="2">
        <f>_xlfn.XLOOKUP(Tabela3[[#This Row],[ORDEM]],[1]BASE_PROGRAMAÇÃO!A:A,[1]BASE_PROGRAMAÇÃO!D:D,"")</f>
        <v>46112</v>
      </c>
      <c r="F97" s="2" t="str">
        <f>_xlfn.XLOOKUP(Tabela3[[#This Row],[ORDEM]],[1]BASE_PROGRAMAÇÃO!A:A,[1]BASE_PROGRAMAÇÃO!O:O,"")</f>
        <v>INTERNA</v>
      </c>
      <c r="G97" s="2" t="str">
        <f>_xlfn.XLOOKUP(Tabela3[[#This Row],[ORDEM]],[1]BASE_PROGRAMAÇÃO!A:A,[1]BASE_PROGRAMAÇÃO!L:L,"")</f>
        <v>COLHEITA</v>
      </c>
      <c r="H97" t="str">
        <f>_xlfn.XLOOKUP(Tabela3[[#This Row],[ORDEM]],[2]S_POST!$C:$C,[2]S_POST!$AG:$AG,"")</f>
        <v xml:space="preserve"> 310000015</v>
      </c>
      <c r="I97" t="str">
        <f>_xlfn.XLOOKUP(Tabela3[[#This Row],[ORDEM]],[1]BASE_PROGRAMAÇÃO!A:A,[1]BASE_PROGRAMAÇÃO!$E:$E,"")</f>
        <v>Primária</v>
      </c>
      <c r="J97" t="str">
        <f>_xlfn.XLOOKUP(Tabela3[[#This Row],[ORDEM]],[1]ENCERRADAS!A:A,[1]ENCERRADAS!B:B,"")</f>
        <v>P</v>
      </c>
    </row>
    <row r="98" spans="1:10" x14ac:dyDescent="0.25">
      <c r="A98" t="str">
        <f>_xlfn.XLOOKUP(Tabela3[[#This Row],[ORDEM]],[1]BASE_PROGRAMAÇÃO!A:A,[1]BASE_PROGRAMAÇÃO!C:C,"")</f>
        <v>IMPLEMENTOS RODOVIARIOS</v>
      </c>
      <c r="B98">
        <f>_xlfn.XLOOKUP(Tabela3[[#This Row],[ORDEM]],[1]BASE_PROGRAMAÇÃO!A:A,[1]BASE_PROGRAMAÇÃO!B:B,"")</f>
        <v>16020469</v>
      </c>
      <c r="C98">
        <v>200313</v>
      </c>
      <c r="D98" t="str">
        <f>_xlfn.XLOOKUP(Tabela3[[#This Row],[Coluna3]],'[1]BASE DE PLANOS'!A:A,'[1]BASE DE PLANOS'!B:B,"")</f>
        <v>Primária</v>
      </c>
      <c r="E98" s="2">
        <f>_xlfn.XLOOKUP(Tabela3[[#This Row],[ORDEM]],[1]BASE_PROGRAMAÇÃO!A:A,[1]BASE_PROGRAMAÇÃO!D:D,"")</f>
        <v>46115</v>
      </c>
      <c r="F98" s="2" t="str">
        <f>_xlfn.XLOOKUP(Tabela3[[#This Row],[ORDEM]],[1]BASE_PROGRAMAÇÃO!A:A,[1]BASE_PROGRAMAÇÃO!O:O,"")</f>
        <v>INTERNA</v>
      </c>
      <c r="G98" s="2" t="str">
        <f>_xlfn.XLOOKUP(Tabela3[[#This Row],[ORDEM]],[1]BASE_PROGRAMAÇÃO!A:A,[1]BASE_PROGRAMAÇÃO!L:L,"")</f>
        <v>COLHEITA</v>
      </c>
      <c r="H98" t="str">
        <f>_xlfn.XLOOKUP(Tabela3[[#This Row],[ORDEM]],[2]S_POST!$C:$C,[2]S_POST!$AG:$AG,"")</f>
        <v xml:space="preserve"> 310000015</v>
      </c>
      <c r="I98" t="str">
        <f>_xlfn.XLOOKUP(Tabela3[[#This Row],[ORDEM]],[1]BASE_PROGRAMAÇÃO!A:A,[1]BASE_PROGRAMAÇÃO!$E:$E,"")</f>
        <v>Primária</v>
      </c>
      <c r="J98" t="str">
        <f>_xlfn.XLOOKUP(Tabela3[[#This Row],[ORDEM]],[1]ENCERRADAS!A:A,[1]ENCERRADAS!B:B,"")</f>
        <v>P</v>
      </c>
    </row>
    <row r="99" spans="1:10" x14ac:dyDescent="0.25">
      <c r="A99" t="str">
        <f>_xlfn.XLOOKUP(Tabela3[[#This Row],[ORDEM]],[1]BASE_PROGRAMAÇÃO!A:A,[1]BASE_PROGRAMAÇÃO!C:C,"")</f>
        <v>IMPLEMENTOS RODOVIARIOS</v>
      </c>
      <c r="B99">
        <f>_xlfn.XLOOKUP(Tabela3[[#This Row],[ORDEM]],[1]BASE_PROGRAMAÇÃO!A:A,[1]BASE_PROGRAMAÇÃO!B:B,"")</f>
        <v>16020155</v>
      </c>
      <c r="C99">
        <v>200312</v>
      </c>
      <c r="D99" t="str">
        <f>_xlfn.XLOOKUP(Tabela3[[#This Row],[Coluna3]],'[1]BASE DE PLANOS'!A:A,'[1]BASE DE PLANOS'!B:B,"")</f>
        <v>Primária</v>
      </c>
      <c r="E99" s="2">
        <f>_xlfn.XLOOKUP(Tabela3[[#This Row],[ORDEM]],[1]BASE_PROGRAMAÇÃO!A:A,[1]BASE_PROGRAMAÇÃO!D:D,"")</f>
        <v>46111</v>
      </c>
      <c r="F99" s="2" t="str">
        <f>_xlfn.XLOOKUP(Tabela3[[#This Row],[ORDEM]],[1]BASE_PROGRAMAÇÃO!A:A,[1]BASE_PROGRAMAÇÃO!O:O,"")</f>
        <v>INTERNA</v>
      </c>
      <c r="G99" s="2" t="str">
        <f>_xlfn.XLOOKUP(Tabela3[[#This Row],[ORDEM]],[1]BASE_PROGRAMAÇÃO!A:A,[1]BASE_PROGRAMAÇÃO!L:L,"")</f>
        <v>COLHEITA</v>
      </c>
      <c r="H99" t="str">
        <f>_xlfn.XLOOKUP(Tabela3[[#This Row],[ORDEM]],[2]S_POST!$C:$C,[2]S_POST!$AG:$AG,"")</f>
        <v xml:space="preserve"> 310000015</v>
      </c>
      <c r="I99" t="str">
        <f>_xlfn.XLOOKUP(Tabela3[[#This Row],[ORDEM]],[1]BASE_PROGRAMAÇÃO!A:A,[1]BASE_PROGRAMAÇÃO!$E:$E,"")</f>
        <v>Primária</v>
      </c>
      <c r="J99" t="str">
        <f>_xlfn.XLOOKUP(Tabela3[[#This Row],[ORDEM]],[1]ENCERRADAS!A:A,[1]ENCERRADAS!B:B,"")</f>
        <v>P</v>
      </c>
    </row>
    <row r="100" spans="1:10" x14ac:dyDescent="0.25">
      <c r="A100" t="str">
        <f>_xlfn.XLOOKUP(Tabela3[[#This Row],[ORDEM]],[1]BASE_PROGRAMAÇÃO!A:A,[1]BASE_PROGRAMAÇÃO!C:C,"")</f>
        <v>CAMINHOES</v>
      </c>
      <c r="B100">
        <f>_xlfn.XLOOKUP(Tabela3[[#This Row],[ORDEM]],[1]BASE_PROGRAMAÇÃO!A:A,[1]BASE_PROGRAMAÇÃO!B:B,"")</f>
        <v>11060209</v>
      </c>
      <c r="C100">
        <v>200311</v>
      </c>
      <c r="D100" t="str">
        <f>_xlfn.XLOOKUP(Tabela3[[#This Row],[Coluna3]],'[1]BASE DE PLANOS'!A:A,'[1]BASE DE PLANOS'!B:B,"")</f>
        <v>Primária</v>
      </c>
      <c r="E100" s="2">
        <f>_xlfn.XLOOKUP(Tabela3[[#This Row],[ORDEM]],[1]BASE_PROGRAMAÇÃO!A:A,[1]BASE_PROGRAMAÇÃO!D:D,"")</f>
        <v>46111</v>
      </c>
      <c r="F100" s="2" t="str">
        <f>_xlfn.XLOOKUP(Tabela3[[#This Row],[ORDEM]],[1]BASE_PROGRAMAÇÃO!A:A,[1]BASE_PROGRAMAÇÃO!O:O,"")</f>
        <v>INTERNA</v>
      </c>
      <c r="G100" s="2" t="str">
        <f>_xlfn.XLOOKUP(Tabela3[[#This Row],[ORDEM]],[1]BASE_PROGRAMAÇÃO!A:A,[1]BASE_PROGRAMAÇÃO!L:L,"")</f>
        <v>COLHEITA</v>
      </c>
      <c r="H100" t="str">
        <f>_xlfn.XLOOKUP(Tabela3[[#This Row],[ORDEM]],[2]S_POST!$C:$C,[2]S_POST!$AG:$AG,"")</f>
        <v xml:space="preserve"> 310000014</v>
      </c>
      <c r="I100" t="str">
        <f>_xlfn.XLOOKUP(Tabela3[[#This Row],[ORDEM]],[1]BASE_PROGRAMAÇÃO!A:A,[1]BASE_PROGRAMAÇÃO!$E:$E,"")</f>
        <v>Primária</v>
      </c>
      <c r="J100" t="str">
        <f>_xlfn.XLOOKUP(Tabela3[[#This Row],[ORDEM]],[1]ENCERRADAS!A:A,[1]ENCERRADAS!B:B,"")</f>
        <v>P</v>
      </c>
    </row>
    <row r="101" spans="1:10" x14ac:dyDescent="0.25">
      <c r="A101" t="str">
        <f>_xlfn.XLOOKUP(Tabela3[[#This Row],[ORDEM]],[1]BASE_PROGRAMAÇÃO!A:A,[1]BASE_PROGRAMAÇÃO!C:C,"")</f>
        <v>CAMINHOES</v>
      </c>
      <c r="B101">
        <f>_xlfn.XLOOKUP(Tabela3[[#This Row],[ORDEM]],[1]BASE_PROGRAMAÇÃO!A:A,[1]BASE_PROGRAMAÇÃO!B:B,"")</f>
        <v>11060096</v>
      </c>
      <c r="C101">
        <v>200310</v>
      </c>
      <c r="D101" t="str">
        <f>_xlfn.XLOOKUP(Tabela3[[#This Row],[Coluna3]],'[1]BASE DE PLANOS'!A:A,'[1]BASE DE PLANOS'!B:B,"")</f>
        <v>Primária</v>
      </c>
      <c r="E101" s="2">
        <f>_xlfn.XLOOKUP(Tabela3[[#This Row],[ORDEM]],[1]BASE_PROGRAMAÇÃO!A:A,[1]BASE_PROGRAMAÇÃO!D:D,"")</f>
        <v>46116</v>
      </c>
      <c r="F101" s="2" t="str">
        <f>_xlfn.XLOOKUP(Tabela3[[#This Row],[ORDEM]],[1]BASE_PROGRAMAÇÃO!A:A,[1]BASE_PROGRAMAÇÃO!O:O,"")</f>
        <v>INTERNA</v>
      </c>
      <c r="G101" s="2" t="str">
        <f>_xlfn.XLOOKUP(Tabela3[[#This Row],[ORDEM]],[1]BASE_PROGRAMAÇÃO!A:A,[1]BASE_PROGRAMAÇÃO!L:L,"")</f>
        <v>COLHEITA</v>
      </c>
      <c r="H101" t="str">
        <f>_xlfn.XLOOKUP(Tabela3[[#This Row],[ORDEM]],[2]S_POST!$C:$C,[2]S_POST!$AG:$AG,"")</f>
        <v xml:space="preserve"> 310000014</v>
      </c>
      <c r="I101" t="str">
        <f>_xlfn.XLOOKUP(Tabela3[[#This Row],[ORDEM]],[1]BASE_PROGRAMAÇÃO!A:A,[1]BASE_PROGRAMAÇÃO!$E:$E,"")</f>
        <v>Primária</v>
      </c>
      <c r="J101" t="str">
        <f>_xlfn.XLOOKUP(Tabela3[[#This Row],[ORDEM]],[1]ENCERRADAS!A:A,[1]ENCERRADAS!B:B,"")</f>
        <v>P</v>
      </c>
    </row>
    <row r="102" spans="1:10" x14ac:dyDescent="0.25">
      <c r="A102" t="str">
        <f>_xlfn.XLOOKUP(Tabela3[[#This Row],[ORDEM]],[1]BASE_PROGRAMAÇÃO!A:A,[1]BASE_PROGRAMAÇÃO!C:C,"")</f>
        <v>CAMINHOES</v>
      </c>
      <c r="B102">
        <f>_xlfn.XLOOKUP(Tabela3[[#This Row],[ORDEM]],[1]BASE_PROGRAMAÇÃO!A:A,[1]BASE_PROGRAMAÇÃO!B:B,"")</f>
        <v>11060095</v>
      </c>
      <c r="C102">
        <v>200309</v>
      </c>
      <c r="D102" t="str">
        <f>_xlfn.XLOOKUP(Tabela3[[#This Row],[Coluna3]],'[1]BASE DE PLANOS'!A:A,'[1]BASE DE PLANOS'!B:B,"")</f>
        <v>Primária</v>
      </c>
      <c r="E102" s="2">
        <f>_xlfn.XLOOKUP(Tabela3[[#This Row],[ORDEM]],[1]BASE_PROGRAMAÇÃO!A:A,[1]BASE_PROGRAMAÇÃO!D:D,"")</f>
        <v>46115</v>
      </c>
      <c r="F102" s="2" t="str">
        <f>_xlfn.XLOOKUP(Tabela3[[#This Row],[ORDEM]],[1]BASE_PROGRAMAÇÃO!A:A,[1]BASE_PROGRAMAÇÃO!O:O,"")</f>
        <v>INTERNA</v>
      </c>
      <c r="G102" s="2" t="str">
        <f>_xlfn.XLOOKUP(Tabela3[[#This Row],[ORDEM]],[1]BASE_PROGRAMAÇÃO!A:A,[1]BASE_PROGRAMAÇÃO!L:L,"")</f>
        <v>COLHEITA</v>
      </c>
      <c r="H102" t="str">
        <f>_xlfn.XLOOKUP(Tabela3[[#This Row],[ORDEM]],[2]S_POST!$C:$C,[2]S_POST!$AG:$AG,"")</f>
        <v xml:space="preserve"> 310000014</v>
      </c>
      <c r="I102" t="str">
        <f>_xlfn.XLOOKUP(Tabela3[[#This Row],[ORDEM]],[1]BASE_PROGRAMAÇÃO!A:A,[1]BASE_PROGRAMAÇÃO!$E:$E,"")</f>
        <v>Primária</v>
      </c>
      <c r="J102" t="str">
        <f>_xlfn.XLOOKUP(Tabela3[[#This Row],[ORDEM]],[1]ENCERRADAS!A:A,[1]ENCERRADAS!B:B,"")</f>
        <v>P</v>
      </c>
    </row>
    <row r="103" spans="1:10" x14ac:dyDescent="0.25">
      <c r="A103" t="str">
        <f>_xlfn.XLOOKUP(Tabela3[[#This Row],[ORDEM]],[1]BASE_PROGRAMAÇÃO!A:A,[1]BASE_PROGRAMAÇÃO!C:C,"")</f>
        <v>CAMINHOES</v>
      </c>
      <c r="B103">
        <f>_xlfn.XLOOKUP(Tabela3[[#This Row],[ORDEM]],[1]BASE_PROGRAMAÇÃO!A:A,[1]BASE_PROGRAMAÇÃO!B:B,"")</f>
        <v>11060093</v>
      </c>
      <c r="C103">
        <v>200308</v>
      </c>
      <c r="D103" t="str">
        <f>_xlfn.XLOOKUP(Tabela3[[#This Row],[Coluna3]],'[1]BASE DE PLANOS'!A:A,'[1]BASE DE PLANOS'!B:B,"")</f>
        <v>Primária</v>
      </c>
      <c r="E103" s="2">
        <f>_xlfn.XLOOKUP(Tabela3[[#This Row],[ORDEM]],[1]BASE_PROGRAMAÇÃO!A:A,[1]BASE_PROGRAMAÇÃO!D:D,"")</f>
        <v>46115</v>
      </c>
      <c r="F103" s="2" t="str">
        <f>_xlfn.XLOOKUP(Tabela3[[#This Row],[ORDEM]],[1]BASE_PROGRAMAÇÃO!A:A,[1]BASE_PROGRAMAÇÃO!O:O,"")</f>
        <v>INTERNA</v>
      </c>
      <c r="G103" s="2" t="str">
        <f>_xlfn.XLOOKUP(Tabela3[[#This Row],[ORDEM]],[1]BASE_PROGRAMAÇÃO!A:A,[1]BASE_PROGRAMAÇÃO!L:L,"")</f>
        <v>COLHEITA</v>
      </c>
      <c r="H103" t="str">
        <f>_xlfn.XLOOKUP(Tabela3[[#This Row],[ORDEM]],[2]S_POST!$C:$C,[2]S_POST!$AG:$AG,"")</f>
        <v xml:space="preserve"> 310000014</v>
      </c>
      <c r="I103" t="str">
        <f>_xlfn.XLOOKUP(Tabela3[[#This Row],[ORDEM]],[1]BASE_PROGRAMAÇÃO!A:A,[1]BASE_PROGRAMAÇÃO!$E:$E,"")</f>
        <v>Primária</v>
      </c>
      <c r="J103" t="str">
        <f>_xlfn.XLOOKUP(Tabela3[[#This Row],[ORDEM]],[1]ENCERRADAS!A:A,[1]ENCERRADAS!B:B,"")</f>
        <v>P</v>
      </c>
    </row>
    <row r="104" spans="1:10" x14ac:dyDescent="0.25">
      <c r="A104" t="str">
        <f>_xlfn.XLOOKUP(Tabela3[[#This Row],[ORDEM]],[1]BASE_PROGRAMAÇÃO!A:A,[1]BASE_PROGRAMAÇÃO!C:C,"")</f>
        <v>CAMINHOES</v>
      </c>
      <c r="B104">
        <f>_xlfn.XLOOKUP(Tabela3[[#This Row],[ORDEM]],[1]BASE_PROGRAMAÇÃO!A:A,[1]BASE_PROGRAMAÇÃO!B:B,"")</f>
        <v>11060071</v>
      </c>
      <c r="C104">
        <v>200307</v>
      </c>
      <c r="D104" t="str">
        <f>_xlfn.XLOOKUP(Tabela3[[#This Row],[Coluna3]],'[1]BASE DE PLANOS'!A:A,'[1]BASE DE PLANOS'!B:B,"")</f>
        <v>Primária</v>
      </c>
      <c r="E104" s="2">
        <f>_xlfn.XLOOKUP(Tabela3[[#This Row],[ORDEM]],[1]BASE_PROGRAMAÇÃO!A:A,[1]BASE_PROGRAMAÇÃO!D:D,"")</f>
        <v>46115</v>
      </c>
      <c r="F104" s="2" t="str">
        <f>_xlfn.XLOOKUP(Tabela3[[#This Row],[ORDEM]],[1]BASE_PROGRAMAÇÃO!A:A,[1]BASE_PROGRAMAÇÃO!O:O,"")</f>
        <v>INTERNA</v>
      </c>
      <c r="G104" s="2" t="str">
        <f>_xlfn.XLOOKUP(Tabela3[[#This Row],[ORDEM]],[1]BASE_PROGRAMAÇÃO!A:A,[1]BASE_PROGRAMAÇÃO!L:L,"")</f>
        <v>COLHEITA</v>
      </c>
      <c r="H104" t="str">
        <f>_xlfn.XLOOKUP(Tabela3[[#This Row],[ORDEM]],[2]S_POST!$C:$C,[2]S_POST!$AG:$AG,"")</f>
        <v xml:space="preserve"> 310000014</v>
      </c>
      <c r="I104" t="str">
        <f>_xlfn.XLOOKUP(Tabela3[[#This Row],[ORDEM]],[1]BASE_PROGRAMAÇÃO!A:A,[1]BASE_PROGRAMAÇÃO!$E:$E,"")</f>
        <v>Primária</v>
      </c>
      <c r="J104" t="str">
        <f>_xlfn.XLOOKUP(Tabela3[[#This Row],[ORDEM]],[1]ENCERRADAS!A:A,[1]ENCERRADAS!B:B,"")</f>
        <v>P</v>
      </c>
    </row>
    <row r="105" spans="1:10" x14ac:dyDescent="0.25">
      <c r="A105" t="str">
        <f>_xlfn.XLOOKUP(Tabela3[[#This Row],[ORDEM]],[1]BASE_PROGRAMAÇÃO!A:A,[1]BASE_PROGRAMAÇÃO!C:C,"")</f>
        <v>CAMINHOES</v>
      </c>
      <c r="B105">
        <f>_xlfn.XLOOKUP(Tabela3[[#This Row],[ORDEM]],[1]BASE_PROGRAMAÇÃO!A:A,[1]BASE_PROGRAMAÇÃO!B:B,"")</f>
        <v>11060070</v>
      </c>
      <c r="C105">
        <v>200306</v>
      </c>
      <c r="D105" t="str">
        <f>_xlfn.XLOOKUP(Tabela3[[#This Row],[Coluna3]],'[1]BASE DE PLANOS'!A:A,'[1]BASE DE PLANOS'!B:B,"")</f>
        <v>Primária</v>
      </c>
      <c r="E105" s="2">
        <f>_xlfn.XLOOKUP(Tabela3[[#This Row],[ORDEM]],[1]BASE_PROGRAMAÇÃO!A:A,[1]BASE_PROGRAMAÇÃO!D:D,"")</f>
        <v>46112</v>
      </c>
      <c r="F105" s="2" t="str">
        <f>_xlfn.XLOOKUP(Tabela3[[#This Row],[ORDEM]],[1]BASE_PROGRAMAÇÃO!A:A,[1]BASE_PROGRAMAÇÃO!O:O,"")</f>
        <v>INTERNA</v>
      </c>
      <c r="G105" s="2" t="str">
        <f>_xlfn.XLOOKUP(Tabela3[[#This Row],[ORDEM]],[1]BASE_PROGRAMAÇÃO!A:A,[1]BASE_PROGRAMAÇÃO!L:L,"")</f>
        <v>COLHEITA</v>
      </c>
      <c r="H105" t="str">
        <f>_xlfn.XLOOKUP(Tabela3[[#This Row],[ORDEM]],[2]S_POST!$C:$C,[2]S_POST!$AG:$AG,"")</f>
        <v xml:space="preserve"> 310000014</v>
      </c>
      <c r="I105" t="str">
        <f>_xlfn.XLOOKUP(Tabela3[[#This Row],[ORDEM]],[1]BASE_PROGRAMAÇÃO!A:A,[1]BASE_PROGRAMAÇÃO!$E:$E,"")</f>
        <v>Primária</v>
      </c>
      <c r="J105" t="str">
        <f>_xlfn.XLOOKUP(Tabela3[[#This Row],[ORDEM]],[1]ENCERRADAS!A:A,[1]ENCERRADAS!B:B,"")</f>
        <v>P</v>
      </c>
    </row>
    <row r="106" spans="1:10" x14ac:dyDescent="0.25">
      <c r="A106" t="str">
        <f>_xlfn.XLOOKUP(Tabela3[[#This Row],[ORDEM]],[1]BASE_PROGRAMAÇÃO!A:A,[1]BASE_PROGRAMAÇÃO!C:C,"")</f>
        <v>CAMINHOES</v>
      </c>
      <c r="B106">
        <f>_xlfn.XLOOKUP(Tabela3[[#This Row],[ORDEM]],[1]BASE_PROGRAMAÇÃO!A:A,[1]BASE_PROGRAMAÇÃO!B:B,"")</f>
        <v>11060061</v>
      </c>
      <c r="C106">
        <v>200305</v>
      </c>
      <c r="D106" t="str">
        <f>_xlfn.XLOOKUP(Tabela3[[#This Row],[Coluna3]],'[1]BASE DE PLANOS'!A:A,'[1]BASE DE PLANOS'!B:B,"")</f>
        <v>Primária</v>
      </c>
      <c r="E106" s="2">
        <f>_xlfn.XLOOKUP(Tabela3[[#This Row],[ORDEM]],[1]BASE_PROGRAMAÇÃO!A:A,[1]BASE_PROGRAMAÇÃO!D:D,"")</f>
        <v>46114</v>
      </c>
      <c r="F106" s="2" t="str">
        <f>_xlfn.XLOOKUP(Tabela3[[#This Row],[ORDEM]],[1]BASE_PROGRAMAÇÃO!A:A,[1]BASE_PROGRAMAÇÃO!O:O,"")</f>
        <v>INTERNA</v>
      </c>
      <c r="G106" s="2" t="str">
        <f>_xlfn.XLOOKUP(Tabela3[[#This Row],[ORDEM]],[1]BASE_PROGRAMAÇÃO!A:A,[1]BASE_PROGRAMAÇÃO!L:L,"")</f>
        <v>COLHEITA</v>
      </c>
      <c r="H106" t="str">
        <f>_xlfn.XLOOKUP(Tabela3[[#This Row],[ORDEM]],[2]S_POST!$C:$C,[2]S_POST!$AG:$AG,"")</f>
        <v xml:space="preserve"> 310000014</v>
      </c>
      <c r="I106" t="str">
        <f>_xlfn.XLOOKUP(Tabela3[[#This Row],[ORDEM]],[1]BASE_PROGRAMAÇÃO!A:A,[1]BASE_PROGRAMAÇÃO!$E:$E,"")</f>
        <v>Primária</v>
      </c>
      <c r="J106" t="str">
        <f>_xlfn.XLOOKUP(Tabela3[[#This Row],[ORDEM]],[1]ENCERRADAS!A:A,[1]ENCERRADAS!B:B,"")</f>
        <v>P</v>
      </c>
    </row>
    <row r="107" spans="1:10" x14ac:dyDescent="0.25">
      <c r="A107" t="str">
        <f>_xlfn.XLOOKUP(Tabela3[[#This Row],[ORDEM]],[1]BASE_PROGRAMAÇÃO!A:A,[1]BASE_PROGRAMAÇÃO!C:C,"")</f>
        <v>IMPLEMENTOS AGRICOLAS</v>
      </c>
      <c r="B107">
        <f>_xlfn.XLOOKUP(Tabela3[[#This Row],[ORDEM]],[1]BASE_PROGRAMAÇÃO!A:A,[1]BASE_PROGRAMAÇÃO!B:B,"")</f>
        <v>15220693</v>
      </c>
      <c r="C107">
        <v>200304</v>
      </c>
      <c r="D107" t="str">
        <f>_xlfn.XLOOKUP(Tabela3[[#This Row],[Coluna3]],'[1]BASE DE PLANOS'!A:A,'[1]BASE DE PLANOS'!B:B,"")</f>
        <v>Primária</v>
      </c>
      <c r="E107" s="2">
        <f>_xlfn.XLOOKUP(Tabela3[[#This Row],[ORDEM]],[1]BASE_PROGRAMAÇÃO!A:A,[1]BASE_PROGRAMAÇÃO!D:D,"")</f>
        <v>46115</v>
      </c>
      <c r="F107" s="2" t="str">
        <f>_xlfn.XLOOKUP(Tabela3[[#This Row],[ORDEM]],[1]BASE_PROGRAMAÇÃO!A:A,[1]BASE_PROGRAMAÇÃO!O:O,"")</f>
        <v>CAMPO</v>
      </c>
      <c r="G107" s="2" t="str">
        <f>_xlfn.XLOOKUP(Tabela3[[#This Row],[ORDEM]],[1]BASE_PROGRAMAÇÃO!A:A,[1]BASE_PROGRAMAÇÃO!L:L,"")</f>
        <v>COLHEITA</v>
      </c>
      <c r="H107" t="str">
        <f>_xlfn.XLOOKUP(Tabela3[[#This Row],[ORDEM]],[2]S_POST!$C:$C,[2]S_POST!$AG:$AG,"")</f>
        <v xml:space="preserve"> 310000014</v>
      </c>
      <c r="I107" t="str">
        <f>_xlfn.XLOOKUP(Tabela3[[#This Row],[ORDEM]],[1]BASE_PROGRAMAÇÃO!A:A,[1]BASE_PROGRAMAÇÃO!$E:$E,"")</f>
        <v>Primária</v>
      </c>
      <c r="J107" t="str">
        <f>_xlfn.XLOOKUP(Tabela3[[#This Row],[ORDEM]],[1]ENCERRADAS!A:A,[1]ENCERRADAS!B:B,"")</f>
        <v>P</v>
      </c>
    </row>
    <row r="108" spans="1:10" x14ac:dyDescent="0.25">
      <c r="A108" t="str">
        <f>_xlfn.XLOOKUP(Tabela3[[#This Row],[ORDEM]],[1]BASE_PROGRAMAÇÃO!A:A,[1]BASE_PROGRAMAÇÃO!C:C,"")</f>
        <v>IMPLEMENTOS AGRICOLAS</v>
      </c>
      <c r="B108">
        <f>_xlfn.XLOOKUP(Tabela3[[#This Row],[ORDEM]],[1]BASE_PROGRAMAÇÃO!A:A,[1]BASE_PROGRAMAÇÃO!B:B,"")</f>
        <v>15220224</v>
      </c>
      <c r="C108">
        <v>200303</v>
      </c>
      <c r="D108" t="str">
        <f>_xlfn.XLOOKUP(Tabela3[[#This Row],[Coluna3]],'[1]BASE DE PLANOS'!A:A,'[1]BASE DE PLANOS'!B:B,"")</f>
        <v>Primária</v>
      </c>
      <c r="E108" s="2">
        <f>_xlfn.XLOOKUP(Tabela3[[#This Row],[ORDEM]],[1]BASE_PROGRAMAÇÃO!A:A,[1]BASE_PROGRAMAÇÃO!D:D,"")</f>
        <v>46112</v>
      </c>
      <c r="F108" s="2" t="str">
        <f>_xlfn.XLOOKUP(Tabela3[[#This Row],[ORDEM]],[1]BASE_PROGRAMAÇÃO!A:A,[1]BASE_PROGRAMAÇÃO!O:O,"")</f>
        <v>CAMPO</v>
      </c>
      <c r="G108" s="2" t="str">
        <f>_xlfn.XLOOKUP(Tabela3[[#This Row],[ORDEM]],[1]BASE_PROGRAMAÇÃO!A:A,[1]BASE_PROGRAMAÇÃO!L:L,"")</f>
        <v>COLHEITA</v>
      </c>
      <c r="H108" t="str">
        <f>_xlfn.XLOOKUP(Tabela3[[#This Row],[ORDEM]],[2]S_POST!$C:$C,[2]S_POST!$AG:$AG,"")</f>
        <v xml:space="preserve"> 310000014</v>
      </c>
      <c r="I108" t="str">
        <f>_xlfn.XLOOKUP(Tabela3[[#This Row],[ORDEM]],[1]BASE_PROGRAMAÇÃO!A:A,[1]BASE_PROGRAMAÇÃO!$E:$E,"")</f>
        <v>Primária</v>
      </c>
      <c r="J108" t="str">
        <f>_xlfn.XLOOKUP(Tabela3[[#This Row],[ORDEM]],[1]ENCERRADAS!A:A,[1]ENCERRADAS!B:B,"")</f>
        <v>P</v>
      </c>
    </row>
    <row r="109" spans="1:10" x14ac:dyDescent="0.25">
      <c r="A109" t="str">
        <f>_xlfn.XLOOKUP(Tabela3[[#This Row],[ORDEM]],[1]BASE_PROGRAMAÇÃO!A:A,[1]BASE_PROGRAMAÇÃO!C:C,"")</f>
        <v>IMPLEMENTOS AGRICOLAS</v>
      </c>
      <c r="B109">
        <f>_xlfn.XLOOKUP(Tabela3[[#This Row],[ORDEM]],[1]BASE_PROGRAMAÇÃO!A:A,[1]BASE_PROGRAMAÇÃO!B:B,"")</f>
        <v>15220071</v>
      </c>
      <c r="C109">
        <v>200302</v>
      </c>
      <c r="D109" t="str">
        <f>_xlfn.XLOOKUP(Tabela3[[#This Row],[Coluna3]],'[1]BASE DE PLANOS'!A:A,'[1]BASE DE PLANOS'!B:B,"")</f>
        <v>Primária</v>
      </c>
      <c r="E109" s="2">
        <f>_xlfn.XLOOKUP(Tabela3[[#This Row],[ORDEM]],[1]BASE_PROGRAMAÇÃO!A:A,[1]BASE_PROGRAMAÇÃO!D:D,"")</f>
        <v>46116</v>
      </c>
      <c r="F109" s="2" t="str">
        <f>_xlfn.XLOOKUP(Tabela3[[#This Row],[ORDEM]],[1]BASE_PROGRAMAÇÃO!A:A,[1]BASE_PROGRAMAÇÃO!O:O,"")</f>
        <v>CAMPO</v>
      </c>
      <c r="G109" s="2" t="str">
        <f>_xlfn.XLOOKUP(Tabela3[[#This Row],[ORDEM]],[1]BASE_PROGRAMAÇÃO!A:A,[1]BASE_PROGRAMAÇÃO!L:L,"")</f>
        <v>COLHEITA</v>
      </c>
      <c r="H109" t="str">
        <f>_xlfn.XLOOKUP(Tabela3[[#This Row],[ORDEM]],[2]S_POST!$C:$C,[2]S_POST!$AG:$AG,"")</f>
        <v xml:space="preserve"> 310000014</v>
      </c>
      <c r="I109" t="str">
        <f>_xlfn.XLOOKUP(Tabela3[[#This Row],[ORDEM]],[1]BASE_PROGRAMAÇÃO!A:A,[1]BASE_PROGRAMAÇÃO!$E:$E,"")</f>
        <v>Primária</v>
      </c>
      <c r="J109" t="str">
        <f>_xlfn.XLOOKUP(Tabela3[[#This Row],[ORDEM]],[1]ENCERRADAS!A:A,[1]ENCERRADAS!B:B,"")</f>
        <v>P</v>
      </c>
    </row>
    <row r="110" spans="1:10" x14ac:dyDescent="0.25">
      <c r="A110" t="str">
        <f>_xlfn.XLOOKUP(Tabela3[[#This Row],[ORDEM]],[1]BASE_PROGRAMAÇÃO!A:A,[1]BASE_PROGRAMAÇÃO!C:C,"")</f>
        <v>IMPLEMENTOS AGRICOLAS</v>
      </c>
      <c r="B110">
        <f>_xlfn.XLOOKUP(Tabela3[[#This Row],[ORDEM]],[1]BASE_PROGRAMAÇÃO!A:A,[1]BASE_PROGRAMAÇÃO!B:B,"")</f>
        <v>15220663</v>
      </c>
      <c r="C110">
        <v>200301</v>
      </c>
      <c r="D110" t="str">
        <f>_xlfn.XLOOKUP(Tabela3[[#This Row],[Coluna3]],'[1]BASE DE PLANOS'!A:A,'[1]BASE DE PLANOS'!B:B,"")</f>
        <v>Primária</v>
      </c>
      <c r="E110" s="2">
        <f>_xlfn.XLOOKUP(Tabela3[[#This Row],[ORDEM]],[1]BASE_PROGRAMAÇÃO!A:A,[1]BASE_PROGRAMAÇÃO!D:D,"")</f>
        <v>46114</v>
      </c>
      <c r="F110" s="2" t="str">
        <f>_xlfn.XLOOKUP(Tabela3[[#This Row],[ORDEM]],[1]BASE_PROGRAMAÇÃO!A:A,[1]BASE_PROGRAMAÇÃO!O:O,"")</f>
        <v>CAMPO</v>
      </c>
      <c r="G110" s="2" t="str">
        <f>_xlfn.XLOOKUP(Tabela3[[#This Row],[ORDEM]],[1]BASE_PROGRAMAÇÃO!A:A,[1]BASE_PROGRAMAÇÃO!L:L,"")</f>
        <v>COLHEITA</v>
      </c>
      <c r="H110" t="str">
        <f>_xlfn.XLOOKUP(Tabela3[[#This Row],[ORDEM]],[2]S_POST!$C:$C,[2]S_POST!$AG:$AG,"")</f>
        <v xml:space="preserve"> 310000014</v>
      </c>
      <c r="I110" t="str">
        <f>_xlfn.XLOOKUP(Tabela3[[#This Row],[ORDEM]],[1]BASE_PROGRAMAÇÃO!A:A,[1]BASE_PROGRAMAÇÃO!$E:$E,"")</f>
        <v>Primária</v>
      </c>
      <c r="J110" t="str">
        <f>_xlfn.XLOOKUP(Tabela3[[#This Row],[ORDEM]],[1]ENCERRADAS!A:A,[1]ENCERRADAS!B:B,"")</f>
        <v>P</v>
      </c>
    </row>
    <row r="111" spans="1:10" x14ac:dyDescent="0.25">
      <c r="A111" t="str">
        <f>_xlfn.XLOOKUP(Tabela3[[#This Row],[ORDEM]],[1]BASE_PROGRAMAÇÃO!A:A,[1]BASE_PROGRAMAÇÃO!C:C,"")</f>
        <v>IMPLEMENTOS AGRICOLAS</v>
      </c>
      <c r="B111">
        <f>_xlfn.XLOOKUP(Tabela3[[#This Row],[ORDEM]],[1]BASE_PROGRAMAÇÃO!A:A,[1]BASE_PROGRAMAÇÃO!B:B,"")</f>
        <v>15220658</v>
      </c>
      <c r="C111">
        <v>200300</v>
      </c>
      <c r="D111" t="str">
        <f>_xlfn.XLOOKUP(Tabela3[[#This Row],[Coluna3]],'[1]BASE DE PLANOS'!A:A,'[1]BASE DE PLANOS'!B:B,"")</f>
        <v>Primária</v>
      </c>
      <c r="E111" s="2">
        <f>_xlfn.XLOOKUP(Tabela3[[#This Row],[ORDEM]],[1]BASE_PROGRAMAÇÃO!A:A,[1]BASE_PROGRAMAÇÃO!D:D,"")</f>
        <v>46113</v>
      </c>
      <c r="F111" s="2" t="str">
        <f>_xlfn.XLOOKUP(Tabela3[[#This Row],[ORDEM]],[1]BASE_PROGRAMAÇÃO!A:A,[1]BASE_PROGRAMAÇÃO!O:O,"")</f>
        <v>CAMPO</v>
      </c>
      <c r="G111" s="2" t="str">
        <f>_xlfn.XLOOKUP(Tabela3[[#This Row],[ORDEM]],[1]BASE_PROGRAMAÇÃO!A:A,[1]BASE_PROGRAMAÇÃO!L:L,"")</f>
        <v>COLHEITA</v>
      </c>
      <c r="H111" t="str">
        <f>_xlfn.XLOOKUP(Tabela3[[#This Row],[ORDEM]],[2]S_POST!$C:$C,[2]S_POST!$AG:$AG,"")</f>
        <v xml:space="preserve"> 310000014</v>
      </c>
      <c r="I111" t="str">
        <f>_xlfn.XLOOKUP(Tabela3[[#This Row],[ORDEM]],[1]BASE_PROGRAMAÇÃO!A:A,[1]BASE_PROGRAMAÇÃO!$E:$E,"")</f>
        <v>Primária</v>
      </c>
      <c r="J111" t="str">
        <f>_xlfn.XLOOKUP(Tabela3[[#This Row],[ORDEM]],[1]ENCERRADAS!A:A,[1]ENCERRADAS!B:B,"")</f>
        <v>P</v>
      </c>
    </row>
    <row r="112" spans="1:10" x14ac:dyDescent="0.25">
      <c r="A112" t="str">
        <f>_xlfn.XLOOKUP(Tabela3[[#This Row],[ORDEM]],[1]BASE_PROGRAMAÇÃO!A:A,[1]BASE_PROGRAMAÇÃO!C:C,"")</f>
        <v>IMPLEMENTOS AGRICOLAS</v>
      </c>
      <c r="B112">
        <f>_xlfn.XLOOKUP(Tabela3[[#This Row],[ORDEM]],[1]BASE_PROGRAMAÇÃO!A:A,[1]BASE_PROGRAMAÇÃO!B:B,"")</f>
        <v>15220132</v>
      </c>
      <c r="C112">
        <v>200299</v>
      </c>
      <c r="D112" t="str">
        <f>_xlfn.XLOOKUP(Tabela3[[#This Row],[Coluna3]],'[1]BASE DE PLANOS'!A:A,'[1]BASE DE PLANOS'!B:B,"")</f>
        <v>Primária</v>
      </c>
      <c r="E112" s="2">
        <f>_xlfn.XLOOKUP(Tabela3[[#This Row],[ORDEM]],[1]BASE_PROGRAMAÇÃO!A:A,[1]BASE_PROGRAMAÇÃO!D:D,"")</f>
        <v>46111</v>
      </c>
      <c r="F112" s="2" t="str">
        <f>_xlfn.XLOOKUP(Tabela3[[#This Row],[ORDEM]],[1]BASE_PROGRAMAÇÃO!A:A,[1]BASE_PROGRAMAÇÃO!O:O,"")</f>
        <v>CAMPO</v>
      </c>
      <c r="G112" s="2" t="str">
        <f>_xlfn.XLOOKUP(Tabela3[[#This Row],[ORDEM]],[1]BASE_PROGRAMAÇÃO!A:A,[1]BASE_PROGRAMAÇÃO!L:L,"")</f>
        <v>COLHEITA</v>
      </c>
      <c r="H112" t="str">
        <f>_xlfn.XLOOKUP(Tabela3[[#This Row],[ORDEM]],[2]S_POST!$C:$C,[2]S_POST!$AG:$AG,"")</f>
        <v xml:space="preserve"> 310000014</v>
      </c>
      <c r="I112" t="str">
        <f>_xlfn.XLOOKUP(Tabela3[[#This Row],[ORDEM]],[1]BASE_PROGRAMAÇÃO!A:A,[1]BASE_PROGRAMAÇÃO!$E:$E,"")</f>
        <v>Primária</v>
      </c>
      <c r="J112" t="str">
        <f>_xlfn.XLOOKUP(Tabela3[[#This Row],[ORDEM]],[1]ENCERRADAS!A:A,[1]ENCERRADAS!B:B,"")</f>
        <v>P</v>
      </c>
    </row>
    <row r="113" spans="1:10" x14ac:dyDescent="0.25">
      <c r="A113" t="str">
        <f>_xlfn.XLOOKUP(Tabela3[[#This Row],[ORDEM]],[1]BASE_PROGRAMAÇÃO!A:A,[1]BASE_PROGRAMAÇÃO!C:C,"")</f>
        <v>IMPLEMENTOS AGRICOLAS</v>
      </c>
      <c r="B113">
        <f>_xlfn.XLOOKUP(Tabela3[[#This Row],[ORDEM]],[1]BASE_PROGRAMAÇÃO!A:A,[1]BASE_PROGRAMAÇÃO!B:B,"")</f>
        <v>15220039</v>
      </c>
      <c r="C113">
        <v>200298</v>
      </c>
      <c r="D113" t="str">
        <f>_xlfn.XLOOKUP(Tabela3[[#This Row],[Coluna3]],'[1]BASE DE PLANOS'!A:A,'[1]BASE DE PLANOS'!B:B,"")</f>
        <v>Primária</v>
      </c>
      <c r="E113" s="2">
        <f>_xlfn.XLOOKUP(Tabela3[[#This Row],[ORDEM]],[1]BASE_PROGRAMAÇÃO!A:A,[1]BASE_PROGRAMAÇÃO!D:D,"")</f>
        <v>46115</v>
      </c>
      <c r="F113" s="2" t="str">
        <f>_xlfn.XLOOKUP(Tabela3[[#This Row],[ORDEM]],[1]BASE_PROGRAMAÇÃO!A:A,[1]BASE_PROGRAMAÇÃO!O:O,"")</f>
        <v>CAMPO</v>
      </c>
      <c r="G113" s="2" t="str">
        <f>_xlfn.XLOOKUP(Tabela3[[#This Row],[ORDEM]],[1]BASE_PROGRAMAÇÃO!A:A,[1]BASE_PROGRAMAÇÃO!L:L,"")</f>
        <v>COLHEITA</v>
      </c>
      <c r="H113" t="str">
        <f>_xlfn.XLOOKUP(Tabela3[[#This Row],[ORDEM]],[2]S_POST!$C:$C,[2]S_POST!$AG:$AG,"")</f>
        <v xml:space="preserve"> 310000014</v>
      </c>
      <c r="I113" t="str">
        <f>_xlfn.XLOOKUP(Tabela3[[#This Row],[ORDEM]],[1]BASE_PROGRAMAÇÃO!A:A,[1]BASE_PROGRAMAÇÃO!$E:$E,"")</f>
        <v>Primária</v>
      </c>
      <c r="J113" t="str">
        <f>_xlfn.XLOOKUP(Tabela3[[#This Row],[ORDEM]],[1]ENCERRADAS!A:A,[1]ENCERRADAS!B:B,"")</f>
        <v>P</v>
      </c>
    </row>
    <row r="114" spans="1:10" x14ac:dyDescent="0.25">
      <c r="A114" t="str">
        <f>_xlfn.XLOOKUP(Tabela3[[#This Row],[ORDEM]],[1]BASE_PROGRAMAÇÃO!A:A,[1]BASE_PROGRAMAÇÃO!C:C,"")</f>
        <v>IMPLEMENTOS AGRICOLAS</v>
      </c>
      <c r="B114">
        <f>_xlfn.XLOOKUP(Tabela3[[#This Row],[ORDEM]],[1]BASE_PROGRAMAÇÃO!A:A,[1]BASE_PROGRAMAÇÃO!B:B,"")</f>
        <v>15220007</v>
      </c>
      <c r="C114">
        <v>200297</v>
      </c>
      <c r="D114" t="str">
        <f>_xlfn.XLOOKUP(Tabela3[[#This Row],[Coluna3]],'[1]BASE DE PLANOS'!A:A,'[1]BASE DE PLANOS'!B:B,"")</f>
        <v>Primária</v>
      </c>
      <c r="E114" s="2">
        <f>_xlfn.XLOOKUP(Tabela3[[#This Row],[ORDEM]],[1]BASE_PROGRAMAÇÃO!A:A,[1]BASE_PROGRAMAÇÃO!D:D,"")</f>
        <v>46114</v>
      </c>
      <c r="F114" s="2" t="str">
        <f>_xlfn.XLOOKUP(Tabela3[[#This Row],[ORDEM]],[1]BASE_PROGRAMAÇÃO!A:A,[1]BASE_PROGRAMAÇÃO!O:O,"")</f>
        <v>CAMPO</v>
      </c>
      <c r="G114" s="2" t="str">
        <f>_xlfn.XLOOKUP(Tabela3[[#This Row],[ORDEM]],[1]BASE_PROGRAMAÇÃO!A:A,[1]BASE_PROGRAMAÇÃO!L:L,"")</f>
        <v>COLHEITA</v>
      </c>
      <c r="H114" t="str">
        <f>_xlfn.XLOOKUP(Tabela3[[#This Row],[ORDEM]],[2]S_POST!$C:$C,[2]S_POST!$AG:$AG,"")</f>
        <v xml:space="preserve"> 310000014</v>
      </c>
      <c r="I114" t="str">
        <f>_xlfn.XLOOKUP(Tabela3[[#This Row],[ORDEM]],[1]BASE_PROGRAMAÇÃO!A:A,[1]BASE_PROGRAMAÇÃO!$E:$E,"")</f>
        <v>Primária</v>
      </c>
      <c r="J114" t="str">
        <f>_xlfn.XLOOKUP(Tabela3[[#This Row],[ORDEM]],[1]ENCERRADAS!A:A,[1]ENCERRADAS!B:B,"")</f>
        <v>P</v>
      </c>
    </row>
    <row r="115" spans="1:10" x14ac:dyDescent="0.25">
      <c r="A115" t="str">
        <f>_xlfn.XLOOKUP(Tabela3[[#This Row],[ORDEM]],[1]BASE_PROGRAMAÇÃO!A:A,[1]BASE_PROGRAMAÇÃO!C:C,"")</f>
        <v>IMPLEMENTOS AGRICOLAS</v>
      </c>
      <c r="B115">
        <f>_xlfn.XLOOKUP(Tabela3[[#This Row],[ORDEM]],[1]BASE_PROGRAMAÇÃO!A:A,[1]BASE_PROGRAMAÇÃO!B:B,"")</f>
        <v>15220003</v>
      </c>
      <c r="C115">
        <v>200296</v>
      </c>
      <c r="D115" t="str">
        <f>_xlfn.XLOOKUP(Tabela3[[#This Row],[Coluna3]],'[1]BASE DE PLANOS'!A:A,'[1]BASE DE PLANOS'!B:B,"")</f>
        <v>Primária</v>
      </c>
      <c r="E115" s="2">
        <f>_xlfn.XLOOKUP(Tabela3[[#This Row],[ORDEM]],[1]BASE_PROGRAMAÇÃO!A:A,[1]BASE_PROGRAMAÇÃO!D:D,"")</f>
        <v>46112</v>
      </c>
      <c r="F115" s="2" t="str">
        <f>_xlfn.XLOOKUP(Tabela3[[#This Row],[ORDEM]],[1]BASE_PROGRAMAÇÃO!A:A,[1]BASE_PROGRAMAÇÃO!O:O,"")</f>
        <v>CAMPO</v>
      </c>
      <c r="G115" s="2" t="str">
        <f>_xlfn.XLOOKUP(Tabela3[[#This Row],[ORDEM]],[1]BASE_PROGRAMAÇÃO!A:A,[1]BASE_PROGRAMAÇÃO!L:L,"")</f>
        <v>COLHEITA</v>
      </c>
      <c r="H115" t="str">
        <f>_xlfn.XLOOKUP(Tabela3[[#This Row],[ORDEM]],[2]S_POST!$C:$C,[2]S_POST!$AG:$AG,"")</f>
        <v xml:space="preserve"> 310000014</v>
      </c>
      <c r="I115" t="str">
        <f>_xlfn.XLOOKUP(Tabela3[[#This Row],[ORDEM]],[1]BASE_PROGRAMAÇÃO!A:A,[1]BASE_PROGRAMAÇÃO!$E:$E,"")</f>
        <v>Primária</v>
      </c>
      <c r="J115" t="str">
        <f>_xlfn.XLOOKUP(Tabela3[[#This Row],[ORDEM]],[1]ENCERRADAS!A:A,[1]ENCERRADAS!B:B,"")</f>
        <v>P</v>
      </c>
    </row>
    <row r="116" spans="1:10" x14ac:dyDescent="0.25">
      <c r="A116" t="str">
        <f>_xlfn.XLOOKUP(Tabela3[[#This Row],[ORDEM]],[1]BASE_PROGRAMAÇÃO!A:A,[1]BASE_PROGRAMAÇÃO!C:C,"")</f>
        <v>IMPLEMENTOS AGRICOLAS</v>
      </c>
      <c r="B116">
        <f>_xlfn.XLOOKUP(Tabela3[[#This Row],[ORDEM]],[1]BASE_PROGRAMAÇÃO!A:A,[1]BASE_PROGRAMAÇÃO!B:B,"")</f>
        <v>15220001</v>
      </c>
      <c r="C116">
        <v>200295</v>
      </c>
      <c r="D116" t="str">
        <f>_xlfn.XLOOKUP(Tabela3[[#This Row],[Coluna3]],'[1]BASE DE PLANOS'!A:A,'[1]BASE DE PLANOS'!B:B,"")</f>
        <v>Primária</v>
      </c>
      <c r="E116" s="2">
        <f>_xlfn.XLOOKUP(Tabela3[[#This Row],[ORDEM]],[1]BASE_PROGRAMAÇÃO!A:A,[1]BASE_PROGRAMAÇÃO!D:D,"")</f>
        <v>46111</v>
      </c>
      <c r="F116" s="2" t="str">
        <f>_xlfn.XLOOKUP(Tabela3[[#This Row],[ORDEM]],[1]BASE_PROGRAMAÇÃO!A:A,[1]BASE_PROGRAMAÇÃO!O:O,"")</f>
        <v>CAMPO</v>
      </c>
      <c r="G116" s="2" t="str">
        <f>_xlfn.XLOOKUP(Tabela3[[#This Row],[ORDEM]],[1]BASE_PROGRAMAÇÃO!A:A,[1]BASE_PROGRAMAÇÃO!L:L,"")</f>
        <v>COLHEITA</v>
      </c>
      <c r="H116" t="str">
        <f>_xlfn.XLOOKUP(Tabela3[[#This Row],[ORDEM]],[2]S_POST!$C:$C,[2]S_POST!$AG:$AG,"")</f>
        <v xml:space="preserve"> 310000014</v>
      </c>
      <c r="I116" t="str">
        <f>_xlfn.XLOOKUP(Tabela3[[#This Row],[ORDEM]],[1]BASE_PROGRAMAÇÃO!A:A,[1]BASE_PROGRAMAÇÃO!$E:$E,"")</f>
        <v>Primária</v>
      </c>
      <c r="J116" t="str">
        <f>_xlfn.XLOOKUP(Tabela3[[#This Row],[ORDEM]],[1]ENCERRADAS!A:A,[1]ENCERRADAS!B:B,"")</f>
        <v>P</v>
      </c>
    </row>
    <row r="117" spans="1:10" x14ac:dyDescent="0.25">
      <c r="A117" t="str">
        <f>_xlfn.XLOOKUP(Tabela3[[#This Row],[ORDEM]],[1]BASE_PROGRAMAÇÃO!A:A,[1]BASE_PROGRAMAÇÃO!C:C,"")</f>
        <v>TRATORES</v>
      </c>
      <c r="B117">
        <f>_xlfn.XLOOKUP(Tabela3[[#This Row],[ORDEM]],[1]BASE_PROGRAMAÇÃO!A:A,[1]BASE_PROGRAMAÇÃO!B:B,"")</f>
        <v>13100489</v>
      </c>
      <c r="C117">
        <v>200294</v>
      </c>
      <c r="D117" t="str">
        <f>_xlfn.XLOOKUP(Tabela3[[#This Row],[Coluna3]],'[1]BASE DE PLANOS'!A:A,'[1]BASE DE PLANOS'!B:B,"")</f>
        <v>Primária</v>
      </c>
      <c r="E117" s="2">
        <f>_xlfn.XLOOKUP(Tabela3[[#This Row],[ORDEM]],[1]BASE_PROGRAMAÇÃO!A:A,[1]BASE_PROGRAMAÇÃO!D:D,"")</f>
        <v>46113</v>
      </c>
      <c r="F117" s="2" t="str">
        <f>_xlfn.XLOOKUP(Tabela3[[#This Row],[ORDEM]],[1]BASE_PROGRAMAÇÃO!A:A,[1]BASE_PROGRAMAÇÃO!O:O,"")</f>
        <v>CAMPO</v>
      </c>
      <c r="G117" s="2" t="str">
        <f>_xlfn.XLOOKUP(Tabela3[[#This Row],[ORDEM]],[1]BASE_PROGRAMAÇÃO!A:A,[1]BASE_PROGRAMAÇÃO!L:L,"")</f>
        <v>COLHEITA</v>
      </c>
      <c r="H117" t="str">
        <f>_xlfn.XLOOKUP(Tabela3[[#This Row],[ORDEM]],[2]S_POST!$C:$C,[2]S_POST!$AG:$AG,"")</f>
        <v xml:space="preserve"> 310000014</v>
      </c>
      <c r="I117" t="str">
        <f>_xlfn.XLOOKUP(Tabela3[[#This Row],[ORDEM]],[1]BASE_PROGRAMAÇÃO!A:A,[1]BASE_PROGRAMAÇÃO!$E:$E,"")</f>
        <v>Primária</v>
      </c>
      <c r="J117" t="str">
        <f>_xlfn.XLOOKUP(Tabela3[[#This Row],[ORDEM]],[1]ENCERRADAS!A:A,[1]ENCERRADAS!B:B,"")</f>
        <v>P</v>
      </c>
    </row>
    <row r="118" spans="1:10" x14ac:dyDescent="0.25">
      <c r="A118" t="str">
        <f>_xlfn.XLOOKUP(Tabela3[[#This Row],[ORDEM]],[1]BASE_PROGRAMAÇÃO!A:A,[1]BASE_PROGRAMAÇÃO!C:C,"")</f>
        <v>TRATORES</v>
      </c>
      <c r="B118">
        <f>_xlfn.XLOOKUP(Tabela3[[#This Row],[ORDEM]],[1]BASE_PROGRAMAÇÃO!A:A,[1]BASE_PROGRAMAÇÃO!B:B,"")</f>
        <v>13100016</v>
      </c>
      <c r="C118">
        <v>200293</v>
      </c>
      <c r="D118" t="str">
        <f>_xlfn.XLOOKUP(Tabela3[[#This Row],[Coluna3]],'[1]BASE DE PLANOS'!A:A,'[1]BASE DE PLANOS'!B:B,"")</f>
        <v>Primária</v>
      </c>
      <c r="E118" s="2">
        <f>_xlfn.XLOOKUP(Tabela3[[#This Row],[ORDEM]],[1]BASE_PROGRAMAÇÃO!A:A,[1]BASE_PROGRAMAÇÃO!D:D,"")</f>
        <v>46113</v>
      </c>
      <c r="F118" s="2" t="str">
        <f>_xlfn.XLOOKUP(Tabela3[[#This Row],[ORDEM]],[1]BASE_PROGRAMAÇÃO!A:A,[1]BASE_PROGRAMAÇÃO!O:O,"")</f>
        <v>CAMPO</v>
      </c>
      <c r="G118" s="2" t="str">
        <f>_xlfn.XLOOKUP(Tabela3[[#This Row],[ORDEM]],[1]BASE_PROGRAMAÇÃO!A:A,[1]BASE_PROGRAMAÇÃO!L:L,"")</f>
        <v>COLHEITA</v>
      </c>
      <c r="H118" t="str">
        <f>_xlfn.XLOOKUP(Tabela3[[#This Row],[ORDEM]],[2]S_POST!$C:$C,[2]S_POST!$AG:$AG,"")</f>
        <v xml:space="preserve"> 310000014</v>
      </c>
      <c r="I118" t="str">
        <f>_xlfn.XLOOKUP(Tabela3[[#This Row],[ORDEM]],[1]BASE_PROGRAMAÇÃO!A:A,[1]BASE_PROGRAMAÇÃO!$E:$E,"")</f>
        <v>Primária</v>
      </c>
      <c r="J118" t="str">
        <f>_xlfn.XLOOKUP(Tabela3[[#This Row],[ORDEM]],[1]ENCERRADAS!A:A,[1]ENCERRADAS!B:B,"")</f>
        <v>P</v>
      </c>
    </row>
    <row r="119" spans="1:10" x14ac:dyDescent="0.25">
      <c r="A119" t="str">
        <f>_xlfn.XLOOKUP(Tabela3[[#This Row],[ORDEM]],[1]BASE_PROGRAMAÇÃO!A:A,[1]BASE_PROGRAMAÇÃO!C:C,"")</f>
        <v>TRATORES</v>
      </c>
      <c r="B119">
        <f>_xlfn.XLOOKUP(Tabela3[[#This Row],[ORDEM]],[1]BASE_PROGRAMAÇÃO!A:A,[1]BASE_PROGRAMAÇÃO!B:B,"")</f>
        <v>13100382</v>
      </c>
      <c r="C119">
        <v>200292</v>
      </c>
      <c r="D119" t="str">
        <f>_xlfn.XLOOKUP(Tabela3[[#This Row],[Coluna3]],'[1]BASE DE PLANOS'!A:A,'[1]BASE DE PLANOS'!B:B,"")</f>
        <v>Primária</v>
      </c>
      <c r="E119" s="2">
        <f>_xlfn.XLOOKUP(Tabela3[[#This Row],[ORDEM]],[1]BASE_PROGRAMAÇÃO!A:A,[1]BASE_PROGRAMAÇÃO!D:D,"")</f>
        <v>46112</v>
      </c>
      <c r="F119" s="2" t="str">
        <f>_xlfn.XLOOKUP(Tabela3[[#This Row],[ORDEM]],[1]BASE_PROGRAMAÇÃO!A:A,[1]BASE_PROGRAMAÇÃO!O:O,"")</f>
        <v>CAMPO</v>
      </c>
      <c r="G119" s="2" t="str">
        <f>_xlfn.XLOOKUP(Tabela3[[#This Row],[ORDEM]],[1]BASE_PROGRAMAÇÃO!A:A,[1]BASE_PROGRAMAÇÃO!L:L,"")</f>
        <v>COLHEITA</v>
      </c>
      <c r="H119" t="str">
        <f>_xlfn.XLOOKUP(Tabela3[[#This Row],[ORDEM]],[2]S_POST!$C:$C,[2]S_POST!$AG:$AG,"")</f>
        <v xml:space="preserve"> 310000014</v>
      </c>
      <c r="I119" t="str">
        <f>_xlfn.XLOOKUP(Tabela3[[#This Row],[ORDEM]],[1]BASE_PROGRAMAÇÃO!A:A,[1]BASE_PROGRAMAÇÃO!$E:$E,"")</f>
        <v>Primária</v>
      </c>
      <c r="J119" t="str">
        <f>_xlfn.XLOOKUP(Tabela3[[#This Row],[ORDEM]],[1]ENCERRADAS!A:A,[1]ENCERRADAS!B:B,"")</f>
        <v>P</v>
      </c>
    </row>
    <row r="120" spans="1:10" x14ac:dyDescent="0.25">
      <c r="A120" t="str">
        <f>_xlfn.XLOOKUP(Tabela3[[#This Row],[ORDEM]],[1]BASE_PROGRAMAÇÃO!A:A,[1]BASE_PROGRAMAÇÃO!C:C,"")</f>
        <v>TRATORES</v>
      </c>
      <c r="B120">
        <f>_xlfn.XLOOKUP(Tabela3[[#This Row],[ORDEM]],[1]BASE_PROGRAMAÇÃO!A:A,[1]BASE_PROGRAMAÇÃO!B:B,"")</f>
        <v>13100025</v>
      </c>
      <c r="C120">
        <v>200291</v>
      </c>
      <c r="D120" t="str">
        <f>_xlfn.XLOOKUP(Tabela3[[#This Row],[Coluna3]],'[1]BASE DE PLANOS'!A:A,'[1]BASE DE PLANOS'!B:B,"")</f>
        <v>Primária</v>
      </c>
      <c r="E120" s="2">
        <f>_xlfn.XLOOKUP(Tabela3[[#This Row],[ORDEM]],[1]BASE_PROGRAMAÇÃO!A:A,[1]BASE_PROGRAMAÇÃO!D:D,"")</f>
        <v>46116</v>
      </c>
      <c r="F120" s="2" t="str">
        <f>_xlfn.XLOOKUP(Tabela3[[#This Row],[ORDEM]],[1]BASE_PROGRAMAÇÃO!A:A,[1]BASE_PROGRAMAÇÃO!O:O,"")</f>
        <v>CAMPO</v>
      </c>
      <c r="G120" s="2" t="str">
        <f>_xlfn.XLOOKUP(Tabela3[[#This Row],[ORDEM]],[1]BASE_PROGRAMAÇÃO!A:A,[1]BASE_PROGRAMAÇÃO!L:L,"")</f>
        <v>COLHEITA</v>
      </c>
      <c r="H120" t="str">
        <f>_xlfn.XLOOKUP(Tabela3[[#This Row],[ORDEM]],[2]S_POST!$C:$C,[2]S_POST!$AG:$AG,"")</f>
        <v xml:space="preserve"> 310000014</v>
      </c>
      <c r="I120" t="str">
        <f>_xlfn.XLOOKUP(Tabela3[[#This Row],[ORDEM]],[1]BASE_PROGRAMAÇÃO!A:A,[1]BASE_PROGRAMAÇÃO!$E:$E,"")</f>
        <v>Primária</v>
      </c>
      <c r="J120" t="str">
        <f>_xlfn.XLOOKUP(Tabela3[[#This Row],[ORDEM]],[1]ENCERRADAS!A:A,[1]ENCERRADAS!B:B,"")</f>
        <v>P</v>
      </c>
    </row>
    <row r="121" spans="1:10" x14ac:dyDescent="0.25">
      <c r="A121" t="str">
        <f>_xlfn.XLOOKUP(Tabela3[[#This Row],[ORDEM]],[1]BASE_PROGRAMAÇÃO!A:A,[1]BASE_PROGRAMAÇÃO!C:C,"")</f>
        <v>TRATORES</v>
      </c>
      <c r="B121">
        <f>_xlfn.XLOOKUP(Tabela3[[#This Row],[ORDEM]],[1]BASE_PROGRAMAÇÃO!A:A,[1]BASE_PROGRAMAÇÃO!B:B,"")</f>
        <v>13100022</v>
      </c>
      <c r="C121">
        <v>200290</v>
      </c>
      <c r="D121" t="str">
        <f>_xlfn.XLOOKUP(Tabela3[[#This Row],[Coluna3]],'[1]BASE DE PLANOS'!A:A,'[1]BASE DE PLANOS'!B:B,"")</f>
        <v>Primária</v>
      </c>
      <c r="E121" s="2">
        <f>_xlfn.XLOOKUP(Tabela3[[#This Row],[ORDEM]],[1]BASE_PROGRAMAÇÃO!A:A,[1]BASE_PROGRAMAÇÃO!D:D,"")</f>
        <v>46113</v>
      </c>
      <c r="F121" s="2" t="str">
        <f>_xlfn.XLOOKUP(Tabela3[[#This Row],[ORDEM]],[1]BASE_PROGRAMAÇÃO!A:A,[1]BASE_PROGRAMAÇÃO!O:O,"")</f>
        <v>CAMPO</v>
      </c>
      <c r="G121" s="2" t="str">
        <f>_xlfn.XLOOKUP(Tabela3[[#This Row],[ORDEM]],[1]BASE_PROGRAMAÇÃO!A:A,[1]BASE_PROGRAMAÇÃO!L:L,"")</f>
        <v>COLHEITA</v>
      </c>
      <c r="H121" t="str">
        <f>_xlfn.XLOOKUP(Tabela3[[#This Row],[ORDEM]],[2]S_POST!$C:$C,[2]S_POST!$AG:$AG,"")</f>
        <v xml:space="preserve"> 310000014</v>
      </c>
      <c r="I121" t="str">
        <f>_xlfn.XLOOKUP(Tabela3[[#This Row],[ORDEM]],[1]BASE_PROGRAMAÇÃO!A:A,[1]BASE_PROGRAMAÇÃO!$E:$E,"")</f>
        <v>Primária</v>
      </c>
      <c r="J121" t="str">
        <f>_xlfn.XLOOKUP(Tabela3[[#This Row],[ORDEM]],[1]ENCERRADAS!A:A,[1]ENCERRADAS!B:B,"")</f>
        <v>P</v>
      </c>
    </row>
    <row r="122" spans="1:10" x14ac:dyDescent="0.25">
      <c r="A122" t="str">
        <f>_xlfn.XLOOKUP(Tabela3[[#This Row],[ORDEM]],[1]BASE_PROGRAMAÇÃO!A:A,[1]BASE_PROGRAMAÇÃO!C:C,"")</f>
        <v>TRATORES</v>
      </c>
      <c r="B122">
        <f>_xlfn.XLOOKUP(Tabela3[[#This Row],[ORDEM]],[1]BASE_PROGRAMAÇÃO!A:A,[1]BASE_PROGRAMAÇÃO!B:B,"")</f>
        <v>13100019</v>
      </c>
      <c r="C122">
        <v>200289</v>
      </c>
      <c r="D122" t="str">
        <f>_xlfn.XLOOKUP(Tabela3[[#This Row],[Coluna3]],'[1]BASE DE PLANOS'!A:A,'[1]BASE DE PLANOS'!B:B,"")</f>
        <v>Primária</v>
      </c>
      <c r="E122" s="2">
        <f>_xlfn.XLOOKUP(Tabela3[[#This Row],[ORDEM]],[1]BASE_PROGRAMAÇÃO!A:A,[1]BASE_PROGRAMAÇÃO!D:D,"")</f>
        <v>46116</v>
      </c>
      <c r="F122" s="2" t="str">
        <f>_xlfn.XLOOKUP(Tabela3[[#This Row],[ORDEM]],[1]BASE_PROGRAMAÇÃO!A:A,[1]BASE_PROGRAMAÇÃO!O:O,"")</f>
        <v>CAMPO</v>
      </c>
      <c r="G122" s="2" t="str">
        <f>_xlfn.XLOOKUP(Tabela3[[#This Row],[ORDEM]],[1]BASE_PROGRAMAÇÃO!A:A,[1]BASE_PROGRAMAÇÃO!L:L,"")</f>
        <v>COLHEITA</v>
      </c>
      <c r="H122" t="str">
        <f>_xlfn.XLOOKUP(Tabela3[[#This Row],[ORDEM]],[2]S_POST!$C:$C,[2]S_POST!$AG:$AG,"")</f>
        <v xml:space="preserve"> 310000014</v>
      </c>
      <c r="I122" t="str">
        <f>_xlfn.XLOOKUP(Tabela3[[#This Row],[ORDEM]],[1]BASE_PROGRAMAÇÃO!A:A,[1]BASE_PROGRAMAÇÃO!$E:$E,"")</f>
        <v>Primária</v>
      </c>
      <c r="J122" t="str">
        <f>_xlfn.XLOOKUP(Tabela3[[#This Row],[ORDEM]],[1]ENCERRADAS!A:A,[1]ENCERRADAS!B:B,"")</f>
        <v>P</v>
      </c>
    </row>
    <row r="123" spans="1:10" x14ac:dyDescent="0.25">
      <c r="A123" t="str">
        <f>_xlfn.XLOOKUP(Tabela3[[#This Row],[ORDEM]],[1]BASE_PROGRAMAÇÃO!A:A,[1]BASE_PROGRAMAÇÃO!C:C,"")</f>
        <v>TRATORES</v>
      </c>
      <c r="B123">
        <f>_xlfn.XLOOKUP(Tabela3[[#This Row],[ORDEM]],[1]BASE_PROGRAMAÇÃO!A:A,[1]BASE_PROGRAMAÇÃO!B:B,"")</f>
        <v>13100017</v>
      </c>
      <c r="C123">
        <v>200288</v>
      </c>
      <c r="D123" t="str">
        <f>_xlfn.XLOOKUP(Tabela3[[#This Row],[Coluna3]],'[1]BASE DE PLANOS'!A:A,'[1]BASE DE PLANOS'!B:B,"")</f>
        <v>Primária</v>
      </c>
      <c r="E123" s="2">
        <f>_xlfn.XLOOKUP(Tabela3[[#This Row],[ORDEM]],[1]BASE_PROGRAMAÇÃO!A:A,[1]BASE_PROGRAMAÇÃO!D:D,"")</f>
        <v>46113</v>
      </c>
      <c r="F123" s="2" t="str">
        <f>_xlfn.XLOOKUP(Tabela3[[#This Row],[ORDEM]],[1]BASE_PROGRAMAÇÃO!A:A,[1]BASE_PROGRAMAÇÃO!O:O,"")</f>
        <v>CAMPO</v>
      </c>
      <c r="G123" s="2" t="str">
        <f>_xlfn.XLOOKUP(Tabela3[[#This Row],[ORDEM]],[1]BASE_PROGRAMAÇÃO!A:A,[1]BASE_PROGRAMAÇÃO!L:L,"")</f>
        <v>COLHEITA</v>
      </c>
      <c r="H123" t="str">
        <f>_xlfn.XLOOKUP(Tabela3[[#This Row],[ORDEM]],[2]S_POST!$C:$C,[2]S_POST!$AG:$AG,"")</f>
        <v xml:space="preserve"> 310000014</v>
      </c>
      <c r="I123" t="str">
        <f>_xlfn.XLOOKUP(Tabela3[[#This Row],[ORDEM]],[1]BASE_PROGRAMAÇÃO!A:A,[1]BASE_PROGRAMAÇÃO!$E:$E,"")</f>
        <v>Primária</v>
      </c>
      <c r="J123" t="str">
        <f>_xlfn.XLOOKUP(Tabela3[[#This Row],[ORDEM]],[1]ENCERRADAS!A:A,[1]ENCERRADAS!B:B,"")</f>
        <v>P</v>
      </c>
    </row>
    <row r="124" spans="1:10" x14ac:dyDescent="0.25">
      <c r="A124" t="str">
        <f>_xlfn.XLOOKUP(Tabela3[[#This Row],[ORDEM]],[1]BASE_PROGRAMAÇÃO!A:A,[1]BASE_PROGRAMAÇÃO!C:C,"")</f>
        <v>TRATORES</v>
      </c>
      <c r="B124">
        <f>_xlfn.XLOOKUP(Tabela3[[#This Row],[ORDEM]],[1]BASE_PROGRAMAÇÃO!A:A,[1]BASE_PROGRAMAÇÃO!B:B,"")</f>
        <v>13090324</v>
      </c>
      <c r="C124">
        <v>200287</v>
      </c>
      <c r="D124" t="str">
        <f>_xlfn.XLOOKUP(Tabela3[[#This Row],[Coluna3]],'[1]BASE DE PLANOS'!A:A,'[1]BASE DE PLANOS'!B:B,"")</f>
        <v>Primária</v>
      </c>
      <c r="E124" s="2">
        <f>_xlfn.XLOOKUP(Tabela3[[#This Row],[ORDEM]],[1]BASE_PROGRAMAÇÃO!A:A,[1]BASE_PROGRAMAÇÃO!D:D,"")</f>
        <v>46115</v>
      </c>
      <c r="F124" s="2" t="str">
        <f>_xlfn.XLOOKUP(Tabela3[[#This Row],[ORDEM]],[1]BASE_PROGRAMAÇÃO!A:A,[1]BASE_PROGRAMAÇÃO!O:O,"")</f>
        <v>CAMPO</v>
      </c>
      <c r="G124" s="2" t="str">
        <f>_xlfn.XLOOKUP(Tabela3[[#This Row],[ORDEM]],[1]BASE_PROGRAMAÇÃO!A:A,[1]BASE_PROGRAMAÇÃO!L:L,"")</f>
        <v>COLHEITA</v>
      </c>
      <c r="H124" t="str">
        <f>_xlfn.XLOOKUP(Tabela3[[#This Row],[ORDEM]],[2]S_POST!$C:$C,[2]S_POST!$AG:$AG,"")</f>
        <v xml:space="preserve"> 310000014</v>
      </c>
      <c r="I124" t="str">
        <f>_xlfn.XLOOKUP(Tabela3[[#This Row],[ORDEM]],[1]BASE_PROGRAMAÇÃO!A:A,[1]BASE_PROGRAMAÇÃO!$E:$E,"")</f>
        <v>Primária</v>
      </c>
      <c r="J124" t="str">
        <f>_xlfn.XLOOKUP(Tabela3[[#This Row],[ORDEM]],[1]ENCERRADAS!A:A,[1]ENCERRADAS!B:B,"")</f>
        <v>P</v>
      </c>
    </row>
    <row r="125" spans="1:10" x14ac:dyDescent="0.25">
      <c r="A125" t="str">
        <f>_xlfn.XLOOKUP(Tabela3[[#This Row],[ORDEM]],[1]BASE_PROGRAMAÇÃO!A:A,[1]BASE_PROGRAMAÇÃO!C:C,"")</f>
        <v>VEICULOS LEVES</v>
      </c>
      <c r="B125">
        <f>_xlfn.XLOOKUP(Tabela3[[#This Row],[ORDEM]],[1]BASE_PROGRAMAÇÃO!A:A,[1]BASE_PROGRAMAÇÃO!B:B,"")</f>
        <v>12010023</v>
      </c>
      <c r="C125">
        <v>200286</v>
      </c>
      <c r="D125" t="str">
        <f>_xlfn.XLOOKUP(Tabela3[[#This Row],[Coluna3]],'[1]BASE DE PLANOS'!A:A,'[1]BASE DE PLANOS'!B:B,"")</f>
        <v>Primária</v>
      </c>
      <c r="E125" s="2">
        <f>_xlfn.XLOOKUP(Tabela3[[#This Row],[ORDEM]],[1]BASE_PROGRAMAÇÃO!A:A,[1]BASE_PROGRAMAÇÃO!D:D,"")</f>
        <v>46111</v>
      </c>
      <c r="F125" s="2" t="str">
        <f>_xlfn.XLOOKUP(Tabela3[[#This Row],[ORDEM]],[1]BASE_PROGRAMAÇÃO!A:A,[1]BASE_PROGRAMAÇÃO!O:O,"")</f>
        <v>INTERNA</v>
      </c>
      <c r="G125" s="2" t="str">
        <f>_xlfn.XLOOKUP(Tabela3[[#This Row],[ORDEM]],[1]BASE_PROGRAMAÇÃO!A:A,[1]BASE_PROGRAMAÇÃO!L:L,"")</f>
        <v>APOIO</v>
      </c>
      <c r="H125" t="str">
        <f>_xlfn.XLOOKUP(Tabela3[[#This Row],[ORDEM]],[2]S_POST!$C:$C,[2]S_POST!$AG:$AG,"")</f>
        <v xml:space="preserve"> 310000014</v>
      </c>
      <c r="I125" t="str">
        <f>_xlfn.XLOOKUP(Tabela3[[#This Row],[ORDEM]],[1]BASE_PROGRAMAÇÃO!A:A,[1]BASE_PROGRAMAÇÃO!$E:$E,"")</f>
        <v>Primária</v>
      </c>
      <c r="J125" t="str">
        <f>_xlfn.XLOOKUP(Tabela3[[#This Row],[ORDEM]],[1]ENCERRADAS!A:A,[1]ENCERRADAS!B:B,"")</f>
        <v>P</v>
      </c>
    </row>
    <row r="126" spans="1:10" x14ac:dyDescent="0.25">
      <c r="A126" t="str">
        <f>_xlfn.XLOOKUP(Tabela3[[#This Row],[ORDEM]],[1]BASE_PROGRAMAÇÃO!A:A,[1]BASE_PROGRAMAÇÃO!C:C,"")</f>
        <v>CAMINHOES</v>
      </c>
      <c r="B126">
        <f>_xlfn.XLOOKUP(Tabela3[[#This Row],[ORDEM]],[1]BASE_PROGRAMAÇÃO!A:A,[1]BASE_PROGRAMAÇÃO!B:B,"")</f>
        <v>11040039</v>
      </c>
      <c r="C126">
        <v>200285</v>
      </c>
      <c r="D126" t="str">
        <f>_xlfn.XLOOKUP(Tabela3[[#This Row],[Coluna3]],'[1]BASE DE PLANOS'!A:A,'[1]BASE DE PLANOS'!B:B,"")</f>
        <v>Primária</v>
      </c>
      <c r="E126" s="2">
        <f>_xlfn.XLOOKUP(Tabela3[[#This Row],[ORDEM]],[1]BASE_PROGRAMAÇÃO!A:A,[1]BASE_PROGRAMAÇÃO!D:D,"")</f>
        <v>46111</v>
      </c>
      <c r="F126" s="2" t="str">
        <f>_xlfn.XLOOKUP(Tabela3[[#This Row],[ORDEM]],[1]BASE_PROGRAMAÇÃO!A:A,[1]BASE_PROGRAMAÇÃO!O:O,"")</f>
        <v>INTERNA</v>
      </c>
      <c r="G126" s="2" t="str">
        <f>_xlfn.XLOOKUP(Tabela3[[#This Row],[ORDEM]],[1]BASE_PROGRAMAÇÃO!A:A,[1]BASE_PROGRAMAÇÃO!L:L,"")</f>
        <v>APOIO</v>
      </c>
      <c r="H126" t="str">
        <f>_xlfn.XLOOKUP(Tabela3[[#This Row],[ORDEM]],[2]S_POST!$C:$C,[2]S_POST!$AG:$AG,"")</f>
        <v xml:space="preserve"> 310000014</v>
      </c>
      <c r="I126" t="str">
        <f>_xlfn.XLOOKUP(Tabela3[[#This Row],[ORDEM]],[1]BASE_PROGRAMAÇÃO!A:A,[1]BASE_PROGRAMAÇÃO!$E:$E,"")</f>
        <v>Primária</v>
      </c>
      <c r="J126" t="str">
        <f>_xlfn.XLOOKUP(Tabela3[[#This Row],[ORDEM]],[1]ENCERRADAS!A:A,[1]ENCERRADAS!B:B,"")</f>
        <v>P</v>
      </c>
    </row>
    <row r="127" spans="1:10" x14ac:dyDescent="0.25">
      <c r="A127" t="str">
        <f>_xlfn.XLOOKUP(Tabela3[[#This Row],[ORDEM]],[1]BASE_PROGRAMAÇÃO!A:A,[1]BASE_PROGRAMAÇÃO!C:C,"")</f>
        <v>CAMINHOES</v>
      </c>
      <c r="B127">
        <f>_xlfn.XLOOKUP(Tabela3[[#This Row],[ORDEM]],[1]BASE_PROGRAMAÇÃO!A:A,[1]BASE_PROGRAMAÇÃO!B:B,"")</f>
        <v>11120142</v>
      </c>
      <c r="C127">
        <v>200284</v>
      </c>
      <c r="D127" t="str">
        <f>_xlfn.XLOOKUP(Tabela3[[#This Row],[Coluna3]],'[1]BASE DE PLANOS'!A:A,'[1]BASE DE PLANOS'!B:B,"")</f>
        <v>Primária</v>
      </c>
      <c r="E127" s="2">
        <f>_xlfn.XLOOKUP(Tabela3[[#This Row],[ORDEM]],[1]BASE_PROGRAMAÇÃO!A:A,[1]BASE_PROGRAMAÇÃO!D:D,"")</f>
        <v>46114</v>
      </c>
      <c r="F127" s="2" t="str">
        <f>_xlfn.XLOOKUP(Tabela3[[#This Row],[ORDEM]],[1]BASE_PROGRAMAÇÃO!A:A,[1]BASE_PROGRAMAÇÃO!O:O,"")</f>
        <v>INTERNA</v>
      </c>
      <c r="G127" s="2" t="str">
        <f>_xlfn.XLOOKUP(Tabela3[[#This Row],[ORDEM]],[1]BASE_PROGRAMAÇÃO!A:A,[1]BASE_PROGRAMAÇÃO!L:L,"")</f>
        <v>APOIO</v>
      </c>
      <c r="H127" t="str">
        <f>_xlfn.XLOOKUP(Tabela3[[#This Row],[ORDEM]],[2]S_POST!$C:$C,[2]S_POST!$AG:$AG,"")</f>
        <v xml:space="preserve"> 310000014</v>
      </c>
      <c r="I127" t="str">
        <f>_xlfn.XLOOKUP(Tabela3[[#This Row],[ORDEM]],[1]BASE_PROGRAMAÇÃO!A:A,[1]BASE_PROGRAMAÇÃO!$E:$E,"")</f>
        <v>Primária</v>
      </c>
      <c r="J127" t="str">
        <f>_xlfn.XLOOKUP(Tabela3[[#This Row],[ORDEM]],[1]ENCERRADAS!A:A,[1]ENCERRADAS!B:B,"")</f>
        <v>P</v>
      </c>
    </row>
    <row r="128" spans="1:10" x14ac:dyDescent="0.25">
      <c r="A128" t="str">
        <f>_xlfn.XLOOKUP(Tabela3[[#This Row],[ORDEM]],[1]BASE_PROGRAMAÇÃO!A:A,[1]BASE_PROGRAMAÇÃO!C:C,"")</f>
        <v>CAMINHOES</v>
      </c>
      <c r="B128">
        <f>_xlfn.XLOOKUP(Tabela3[[#This Row],[ORDEM]],[1]BASE_PROGRAMAÇÃO!A:A,[1]BASE_PROGRAMAÇÃO!B:B,"")</f>
        <v>11120141</v>
      </c>
      <c r="C128">
        <v>200283</v>
      </c>
      <c r="D128" t="str">
        <f>_xlfn.XLOOKUP(Tabela3[[#This Row],[Coluna3]],'[1]BASE DE PLANOS'!A:A,'[1]BASE DE PLANOS'!B:B,"")</f>
        <v>Primária</v>
      </c>
      <c r="E128" s="2">
        <f>_xlfn.XLOOKUP(Tabela3[[#This Row],[ORDEM]],[1]BASE_PROGRAMAÇÃO!A:A,[1]BASE_PROGRAMAÇÃO!D:D,"")</f>
        <v>46113</v>
      </c>
      <c r="F128" s="2" t="str">
        <f>_xlfn.XLOOKUP(Tabela3[[#This Row],[ORDEM]],[1]BASE_PROGRAMAÇÃO!A:A,[1]BASE_PROGRAMAÇÃO!O:O,"")</f>
        <v>INTERNA</v>
      </c>
      <c r="G128" s="2" t="str">
        <f>_xlfn.XLOOKUP(Tabela3[[#This Row],[ORDEM]],[1]BASE_PROGRAMAÇÃO!A:A,[1]BASE_PROGRAMAÇÃO!L:L,"")</f>
        <v>APOIO</v>
      </c>
      <c r="H128" t="str">
        <f>_xlfn.XLOOKUP(Tabela3[[#This Row],[ORDEM]],[2]S_POST!$C:$C,[2]S_POST!$AG:$AG,"")</f>
        <v xml:space="preserve"> 310000014</v>
      </c>
      <c r="I128" t="str">
        <f>_xlfn.XLOOKUP(Tabela3[[#This Row],[ORDEM]],[1]BASE_PROGRAMAÇÃO!A:A,[1]BASE_PROGRAMAÇÃO!$E:$E,"")</f>
        <v>Primária</v>
      </c>
      <c r="J128" t="str">
        <f>_xlfn.XLOOKUP(Tabela3[[#This Row],[ORDEM]],[1]ENCERRADAS!A:A,[1]ENCERRADAS!B:B,"")</f>
        <v>P</v>
      </c>
    </row>
    <row r="129" spans="1:10" x14ac:dyDescent="0.25">
      <c r="A129" t="str">
        <f>_xlfn.XLOOKUP(Tabela3[[#This Row],[ORDEM]],[1]BASE_PROGRAMAÇÃO!A:A,[1]BASE_PROGRAMAÇÃO!C:C,"")</f>
        <v>CAMINHOES</v>
      </c>
      <c r="B129">
        <f>_xlfn.XLOOKUP(Tabela3[[#This Row],[ORDEM]],[1]BASE_PROGRAMAÇÃO!A:A,[1]BASE_PROGRAMAÇÃO!B:B,"")</f>
        <v>11120127</v>
      </c>
      <c r="C129">
        <v>200281</v>
      </c>
      <c r="D129" t="str">
        <f>_xlfn.XLOOKUP(Tabela3[[#This Row],[Coluna3]],'[1]BASE DE PLANOS'!A:A,'[1]BASE DE PLANOS'!B:B,"")</f>
        <v>Primária</v>
      </c>
      <c r="E129" s="2">
        <f>_xlfn.XLOOKUP(Tabela3[[#This Row],[ORDEM]],[1]BASE_PROGRAMAÇÃO!A:A,[1]BASE_PROGRAMAÇÃO!D:D,"")</f>
        <v>46111</v>
      </c>
      <c r="F129" s="2" t="str">
        <f>_xlfn.XLOOKUP(Tabela3[[#This Row],[ORDEM]],[1]BASE_PROGRAMAÇÃO!A:A,[1]BASE_PROGRAMAÇÃO!O:O,"")</f>
        <v>INTERNA</v>
      </c>
      <c r="G129" s="2" t="str">
        <f>_xlfn.XLOOKUP(Tabela3[[#This Row],[ORDEM]],[1]BASE_PROGRAMAÇÃO!A:A,[1]BASE_PROGRAMAÇÃO!L:L,"")</f>
        <v>APOIO</v>
      </c>
      <c r="H129" t="str">
        <f>_xlfn.XLOOKUP(Tabela3[[#This Row],[ORDEM]],[2]S_POST!$C:$C,[2]S_POST!$AG:$AG,"")</f>
        <v xml:space="preserve"> 310000014</v>
      </c>
      <c r="I129" t="str">
        <f>_xlfn.XLOOKUP(Tabela3[[#This Row],[ORDEM]],[1]BASE_PROGRAMAÇÃO!A:A,[1]BASE_PROGRAMAÇÃO!$E:$E,"")</f>
        <v>Primária</v>
      </c>
      <c r="J129" t="str">
        <f>_xlfn.XLOOKUP(Tabela3[[#This Row],[ORDEM]],[1]ENCERRADAS!A:A,[1]ENCERRADAS!B:B,"")</f>
        <v>P</v>
      </c>
    </row>
    <row r="130" spans="1:10" x14ac:dyDescent="0.25">
      <c r="A130" t="str">
        <f>_xlfn.XLOOKUP(Tabela3[[#This Row],[ORDEM]],[1]BASE_PROGRAMAÇÃO!A:A,[1]BASE_PROGRAMAÇÃO!C:C,"")</f>
        <v>CAMINHOES</v>
      </c>
      <c r="B130">
        <f>_xlfn.XLOOKUP(Tabela3[[#This Row],[ORDEM]],[1]BASE_PROGRAMAÇÃO!A:A,[1]BASE_PROGRAMAÇÃO!B:B,"")</f>
        <v>11120128</v>
      </c>
      <c r="C130">
        <v>200280</v>
      </c>
      <c r="D130" t="str">
        <f>_xlfn.XLOOKUP(Tabela3[[#This Row],[Coluna3]],'[1]BASE DE PLANOS'!A:A,'[1]BASE DE PLANOS'!B:B,"")</f>
        <v>Primária</v>
      </c>
      <c r="E130" s="2">
        <f>_xlfn.XLOOKUP(Tabela3[[#This Row],[ORDEM]],[1]BASE_PROGRAMAÇÃO!A:A,[1]BASE_PROGRAMAÇÃO!D:D,"")</f>
        <v>46112</v>
      </c>
      <c r="F130" s="2" t="str">
        <f>_xlfn.XLOOKUP(Tabela3[[#This Row],[ORDEM]],[1]BASE_PROGRAMAÇÃO!A:A,[1]BASE_PROGRAMAÇÃO!O:O,"")</f>
        <v>INTERNA</v>
      </c>
      <c r="G130" s="2" t="str">
        <f>_xlfn.XLOOKUP(Tabela3[[#This Row],[ORDEM]],[1]BASE_PROGRAMAÇÃO!A:A,[1]BASE_PROGRAMAÇÃO!L:L,"")</f>
        <v>APOIO</v>
      </c>
      <c r="H130" t="str">
        <f>_xlfn.XLOOKUP(Tabela3[[#This Row],[ORDEM]],[2]S_POST!$C:$C,[2]S_POST!$AG:$AG,"")</f>
        <v xml:space="preserve"> 310000014</v>
      </c>
      <c r="I130" t="str">
        <f>_xlfn.XLOOKUP(Tabela3[[#This Row],[ORDEM]],[1]BASE_PROGRAMAÇÃO!A:A,[1]BASE_PROGRAMAÇÃO!$E:$E,"")</f>
        <v>Primária</v>
      </c>
      <c r="J130" t="str">
        <f>_xlfn.XLOOKUP(Tabela3[[#This Row],[ORDEM]],[1]ENCERRADAS!A:A,[1]ENCERRADAS!B:B,"")</f>
        <v>P</v>
      </c>
    </row>
    <row r="131" spans="1:10" x14ac:dyDescent="0.25">
      <c r="A131" t="str">
        <f>_xlfn.XLOOKUP(Tabela3[[#This Row],[ORDEM]],[1]BASE_PROGRAMAÇÃO!A:A,[1]BASE_PROGRAMAÇÃO!C:C,"")</f>
        <v>CAMINHOES</v>
      </c>
      <c r="B131">
        <f>_xlfn.XLOOKUP(Tabela3[[#This Row],[ORDEM]],[1]BASE_PROGRAMAÇÃO!A:A,[1]BASE_PROGRAMAÇÃO!B:B,"")</f>
        <v>11120126</v>
      </c>
      <c r="C131">
        <v>200279</v>
      </c>
      <c r="D131" t="str">
        <f>_xlfn.XLOOKUP(Tabela3[[#This Row],[Coluna3]],'[1]BASE DE PLANOS'!A:A,'[1]BASE DE PLANOS'!B:B,"")</f>
        <v>Primária</v>
      </c>
      <c r="E131" s="2">
        <f>_xlfn.XLOOKUP(Tabela3[[#This Row],[ORDEM]],[1]BASE_PROGRAMAÇÃO!A:A,[1]BASE_PROGRAMAÇÃO!D:D,"")</f>
        <v>46111</v>
      </c>
      <c r="F131" s="2" t="str">
        <f>_xlfn.XLOOKUP(Tabela3[[#This Row],[ORDEM]],[1]BASE_PROGRAMAÇÃO!A:A,[1]BASE_PROGRAMAÇÃO!O:O,"")</f>
        <v>INTERNA</v>
      </c>
      <c r="G131" s="2" t="str">
        <f>_xlfn.XLOOKUP(Tabela3[[#This Row],[ORDEM]],[1]BASE_PROGRAMAÇÃO!A:A,[1]BASE_PROGRAMAÇÃO!L:L,"")</f>
        <v>APOIO</v>
      </c>
      <c r="H131" t="str">
        <f>_xlfn.XLOOKUP(Tabela3[[#This Row],[ORDEM]],[2]S_POST!$C:$C,[2]S_POST!$AG:$AG,"")</f>
        <v xml:space="preserve"> 310000014</v>
      </c>
      <c r="I131" t="str">
        <f>_xlfn.XLOOKUP(Tabela3[[#This Row],[ORDEM]],[1]BASE_PROGRAMAÇÃO!A:A,[1]BASE_PROGRAMAÇÃO!$E:$E,"")</f>
        <v>Primária</v>
      </c>
      <c r="J131" t="str">
        <f>_xlfn.XLOOKUP(Tabela3[[#This Row],[ORDEM]],[1]ENCERRADAS!A:A,[1]ENCERRADAS!B:B,"")</f>
        <v>P</v>
      </c>
    </row>
    <row r="132" spans="1:10" x14ac:dyDescent="0.25">
      <c r="A132" t="str">
        <f>_xlfn.XLOOKUP(Tabela3[[#This Row],[ORDEM]],[1]BASE_PROGRAMAÇÃO!A:A,[1]BASE_PROGRAMAÇÃO!C:C,"")</f>
        <v>CAMINHOES</v>
      </c>
      <c r="B132">
        <f>_xlfn.XLOOKUP(Tabela3[[#This Row],[ORDEM]],[1]BASE_PROGRAMAÇÃO!A:A,[1]BASE_PROGRAMAÇÃO!B:B,"")</f>
        <v>11050051</v>
      </c>
      <c r="C132">
        <v>200278</v>
      </c>
      <c r="D132" t="str">
        <f>_xlfn.XLOOKUP(Tabela3[[#This Row],[Coluna3]],'[1]BASE DE PLANOS'!A:A,'[1]BASE DE PLANOS'!B:B,"")</f>
        <v>Primária</v>
      </c>
      <c r="E132" s="2">
        <f>_xlfn.XLOOKUP(Tabela3[[#This Row],[ORDEM]],[1]BASE_PROGRAMAÇÃO!A:A,[1]BASE_PROGRAMAÇÃO!D:D,"")</f>
        <v>46113</v>
      </c>
      <c r="F132" s="2" t="str">
        <f>_xlfn.XLOOKUP(Tabela3[[#This Row],[ORDEM]],[1]BASE_PROGRAMAÇÃO!A:A,[1]BASE_PROGRAMAÇÃO!O:O,"")</f>
        <v>INTERNA</v>
      </c>
      <c r="G132" s="2" t="str">
        <f>_xlfn.XLOOKUP(Tabela3[[#This Row],[ORDEM]],[1]BASE_PROGRAMAÇÃO!A:A,[1]BASE_PROGRAMAÇÃO!L:L,"")</f>
        <v>APOIO</v>
      </c>
      <c r="H132" t="str">
        <f>_xlfn.XLOOKUP(Tabela3[[#This Row],[ORDEM]],[2]S_POST!$C:$C,[2]S_POST!$AG:$AG,"")</f>
        <v xml:space="preserve"> 310000014</v>
      </c>
      <c r="I132" t="str">
        <f>_xlfn.XLOOKUP(Tabela3[[#This Row],[ORDEM]],[1]BASE_PROGRAMAÇÃO!A:A,[1]BASE_PROGRAMAÇÃO!$E:$E,"")</f>
        <v>Primária</v>
      </c>
      <c r="J132" t="str">
        <f>_xlfn.XLOOKUP(Tabela3[[#This Row],[ORDEM]],[1]ENCERRADAS!A:A,[1]ENCERRADAS!B:B,"")</f>
        <v>E</v>
      </c>
    </row>
    <row r="133" spans="1:10" x14ac:dyDescent="0.25">
      <c r="A133" t="str">
        <f>_xlfn.XLOOKUP(Tabela3[[#This Row],[ORDEM]],[1]BASE_PROGRAMAÇÃO!A:A,[1]BASE_PROGRAMAÇÃO!C:C,"")</f>
        <v>CAMINHOES</v>
      </c>
      <c r="B133">
        <f>_xlfn.XLOOKUP(Tabela3[[#This Row],[ORDEM]],[1]BASE_PROGRAMAÇÃO!A:A,[1]BASE_PROGRAMAÇÃO!B:B,"")</f>
        <v>11120125</v>
      </c>
      <c r="C133">
        <v>200277</v>
      </c>
      <c r="D133" t="str">
        <f>_xlfn.XLOOKUP(Tabela3[[#This Row],[Coluna3]],'[1]BASE DE PLANOS'!A:A,'[1]BASE DE PLANOS'!B:B,"")</f>
        <v>Primária</v>
      </c>
      <c r="E133" s="2">
        <f>_xlfn.XLOOKUP(Tabela3[[#This Row],[ORDEM]],[1]BASE_PROGRAMAÇÃO!A:A,[1]BASE_PROGRAMAÇÃO!D:D,"")</f>
        <v>46113</v>
      </c>
      <c r="F133" s="2" t="str">
        <f>_xlfn.XLOOKUP(Tabela3[[#This Row],[ORDEM]],[1]BASE_PROGRAMAÇÃO!A:A,[1]BASE_PROGRAMAÇÃO!O:O,"")</f>
        <v>INTERNA</v>
      </c>
      <c r="G133" s="2" t="str">
        <f>_xlfn.XLOOKUP(Tabela3[[#This Row],[ORDEM]],[1]BASE_PROGRAMAÇÃO!A:A,[1]BASE_PROGRAMAÇÃO!L:L,"")</f>
        <v>APOIO</v>
      </c>
      <c r="H133" t="str">
        <f>_xlfn.XLOOKUP(Tabela3[[#This Row],[ORDEM]],[2]S_POST!$C:$C,[2]S_POST!$AG:$AG,"")</f>
        <v xml:space="preserve"> 310000014</v>
      </c>
      <c r="I133" t="str">
        <f>_xlfn.XLOOKUP(Tabela3[[#This Row],[ORDEM]],[1]BASE_PROGRAMAÇÃO!A:A,[1]BASE_PROGRAMAÇÃO!$E:$E,"")</f>
        <v>Primária</v>
      </c>
      <c r="J133" t="str">
        <f>_xlfn.XLOOKUP(Tabela3[[#This Row],[ORDEM]],[1]ENCERRADAS!A:A,[1]ENCERRADAS!B:B,"")</f>
        <v>P</v>
      </c>
    </row>
    <row r="134" spans="1:10" x14ac:dyDescent="0.25">
      <c r="A134" t="str">
        <f>_xlfn.XLOOKUP(Tabela3[[#This Row],[ORDEM]],[1]BASE_PROGRAMAÇÃO!A:A,[1]BASE_PROGRAMAÇÃO!C:C,"")</f>
        <v>CAMINHOES</v>
      </c>
      <c r="B134">
        <f>_xlfn.XLOOKUP(Tabela3[[#This Row],[ORDEM]],[1]BASE_PROGRAMAÇÃO!A:A,[1]BASE_PROGRAMAÇÃO!B:B,"")</f>
        <v>11120115</v>
      </c>
      <c r="C134">
        <v>200276</v>
      </c>
      <c r="D134" t="str">
        <f>_xlfn.XLOOKUP(Tabela3[[#This Row],[Coluna3]],'[1]BASE DE PLANOS'!A:A,'[1]BASE DE PLANOS'!B:B,"")</f>
        <v>Primária</v>
      </c>
      <c r="E134" s="2">
        <f>_xlfn.XLOOKUP(Tabela3[[#This Row],[ORDEM]],[1]BASE_PROGRAMAÇÃO!A:A,[1]BASE_PROGRAMAÇÃO!D:D,"")</f>
        <v>46114</v>
      </c>
      <c r="F134" s="2" t="str">
        <f>_xlfn.XLOOKUP(Tabela3[[#This Row],[ORDEM]],[1]BASE_PROGRAMAÇÃO!A:A,[1]BASE_PROGRAMAÇÃO!O:O,"")</f>
        <v>INTERNA</v>
      </c>
      <c r="G134" s="2" t="str">
        <f>_xlfn.XLOOKUP(Tabela3[[#This Row],[ORDEM]],[1]BASE_PROGRAMAÇÃO!A:A,[1]BASE_PROGRAMAÇÃO!L:L,"")</f>
        <v>APOIO</v>
      </c>
      <c r="H134" t="str">
        <f>_xlfn.XLOOKUP(Tabela3[[#This Row],[ORDEM]],[2]S_POST!$C:$C,[2]S_POST!$AG:$AG,"")</f>
        <v xml:space="preserve"> 310000014</v>
      </c>
      <c r="I134" t="str">
        <f>_xlfn.XLOOKUP(Tabela3[[#This Row],[ORDEM]],[1]BASE_PROGRAMAÇÃO!A:A,[1]BASE_PROGRAMAÇÃO!$E:$E,"")</f>
        <v>Primária</v>
      </c>
      <c r="J134" t="str">
        <f>_xlfn.XLOOKUP(Tabela3[[#This Row],[ORDEM]],[1]ENCERRADAS!A:A,[1]ENCERRADAS!B:B,"")</f>
        <v>P</v>
      </c>
    </row>
    <row r="135" spans="1:10" x14ac:dyDescent="0.25">
      <c r="A135" t="str">
        <f>_xlfn.XLOOKUP(Tabela3[[#This Row],[ORDEM]],[1]BASE_PROGRAMAÇÃO!A:A,[1]BASE_PROGRAMAÇÃO!C:C,"")</f>
        <v>CAMINHOES</v>
      </c>
      <c r="B135">
        <f>_xlfn.XLOOKUP(Tabela3[[#This Row],[ORDEM]],[1]BASE_PROGRAMAÇÃO!A:A,[1]BASE_PROGRAMAÇÃO!B:B,"")</f>
        <v>11220037</v>
      </c>
      <c r="C135">
        <v>200275</v>
      </c>
      <c r="D135" t="str">
        <f>_xlfn.XLOOKUP(Tabela3[[#This Row],[Coluna3]],'[1]BASE DE PLANOS'!A:A,'[1]BASE DE PLANOS'!B:B,"")</f>
        <v>Primária</v>
      </c>
      <c r="E135" s="2">
        <f>_xlfn.XLOOKUP(Tabela3[[#This Row],[ORDEM]],[1]BASE_PROGRAMAÇÃO!A:A,[1]BASE_PROGRAMAÇÃO!D:D,"")</f>
        <v>46112</v>
      </c>
      <c r="F135" s="2" t="str">
        <f>_xlfn.XLOOKUP(Tabela3[[#This Row],[ORDEM]],[1]BASE_PROGRAMAÇÃO!A:A,[1]BASE_PROGRAMAÇÃO!O:O,"")</f>
        <v>INTERNA</v>
      </c>
      <c r="G135" s="2" t="str">
        <f>_xlfn.XLOOKUP(Tabela3[[#This Row],[ORDEM]],[1]BASE_PROGRAMAÇÃO!A:A,[1]BASE_PROGRAMAÇÃO!L:L,"")</f>
        <v>APOIO</v>
      </c>
      <c r="H135" t="str">
        <f>_xlfn.XLOOKUP(Tabela3[[#This Row],[ORDEM]],[2]S_POST!$C:$C,[2]S_POST!$AG:$AG,"")</f>
        <v xml:space="preserve"> 310000014</v>
      </c>
      <c r="I135" t="str">
        <f>_xlfn.XLOOKUP(Tabela3[[#This Row],[ORDEM]],[1]BASE_PROGRAMAÇÃO!A:A,[1]BASE_PROGRAMAÇÃO!$E:$E,"")</f>
        <v>Primária</v>
      </c>
      <c r="J135" t="str">
        <f>_xlfn.XLOOKUP(Tabela3[[#This Row],[ORDEM]],[1]ENCERRADAS!A:A,[1]ENCERRADAS!B:B,"")</f>
        <v>P</v>
      </c>
    </row>
    <row r="136" spans="1:10" x14ac:dyDescent="0.25">
      <c r="A136" t="str">
        <f>_xlfn.XLOOKUP(Tabela3[[#This Row],[ORDEM]],[1]BASE_PROGRAMAÇÃO!A:A,[1]BASE_PROGRAMAÇÃO!C:C,"")</f>
        <v>CAMINHOES</v>
      </c>
      <c r="B136">
        <f>_xlfn.XLOOKUP(Tabela3[[#This Row],[ORDEM]],[1]BASE_PROGRAMAÇÃO!A:A,[1]BASE_PROGRAMAÇÃO!B:B,"")</f>
        <v>11120011</v>
      </c>
      <c r="C136">
        <v>200274</v>
      </c>
      <c r="D136" t="str">
        <f>_xlfn.XLOOKUP(Tabela3[[#This Row],[Coluna3]],'[1]BASE DE PLANOS'!A:A,'[1]BASE DE PLANOS'!B:B,"")</f>
        <v>Primária</v>
      </c>
      <c r="E136" s="2">
        <f>_xlfn.XLOOKUP(Tabela3[[#This Row],[ORDEM]],[1]BASE_PROGRAMAÇÃO!A:A,[1]BASE_PROGRAMAÇÃO!D:D,"")</f>
        <v>46115</v>
      </c>
      <c r="F136" s="2" t="str">
        <f>_xlfn.XLOOKUP(Tabela3[[#This Row],[ORDEM]],[1]BASE_PROGRAMAÇÃO!A:A,[1]BASE_PROGRAMAÇÃO!O:O,"")</f>
        <v>INTERNA</v>
      </c>
      <c r="G136" s="2" t="str">
        <f>_xlfn.XLOOKUP(Tabela3[[#This Row],[ORDEM]],[1]BASE_PROGRAMAÇÃO!A:A,[1]BASE_PROGRAMAÇÃO!L:L,"")</f>
        <v>APOIO</v>
      </c>
      <c r="H136" t="str">
        <f>_xlfn.XLOOKUP(Tabela3[[#This Row],[ORDEM]],[2]S_POST!$C:$C,[2]S_POST!$AG:$AG,"")</f>
        <v xml:space="preserve"> 310000014</v>
      </c>
      <c r="I136" t="str">
        <f>_xlfn.XLOOKUP(Tabela3[[#This Row],[ORDEM]],[1]BASE_PROGRAMAÇÃO!A:A,[1]BASE_PROGRAMAÇÃO!$E:$E,"")</f>
        <v>Primária</v>
      </c>
      <c r="J136" t="str">
        <f>_xlfn.XLOOKUP(Tabela3[[#This Row],[ORDEM]],[1]ENCERRADAS!A:A,[1]ENCERRADAS!B:B,"")</f>
        <v>P</v>
      </c>
    </row>
    <row r="137" spans="1:10" x14ac:dyDescent="0.25">
      <c r="A137" t="str">
        <f>_xlfn.XLOOKUP(Tabela3[[#This Row],[ORDEM]],[1]BASE_PROGRAMAÇÃO!A:A,[1]BASE_PROGRAMAÇÃO!C:C,"")</f>
        <v>CAMINHOES</v>
      </c>
      <c r="B137">
        <f>_xlfn.XLOOKUP(Tabela3[[#This Row],[ORDEM]],[1]BASE_PROGRAMAÇÃO!A:A,[1]BASE_PROGRAMAÇÃO!B:B,"")</f>
        <v>11120004</v>
      </c>
      <c r="C137">
        <v>200273</v>
      </c>
      <c r="D137" t="str">
        <f>_xlfn.XLOOKUP(Tabela3[[#This Row],[Coluna3]],'[1]BASE DE PLANOS'!A:A,'[1]BASE DE PLANOS'!B:B,"")</f>
        <v>Primária</v>
      </c>
      <c r="E137" s="2">
        <f>_xlfn.XLOOKUP(Tabela3[[#This Row],[ORDEM]],[1]BASE_PROGRAMAÇÃO!A:A,[1]BASE_PROGRAMAÇÃO!D:D,"")</f>
        <v>46116</v>
      </c>
      <c r="F137" s="2" t="str">
        <f>_xlfn.XLOOKUP(Tabela3[[#This Row],[ORDEM]],[1]BASE_PROGRAMAÇÃO!A:A,[1]BASE_PROGRAMAÇÃO!O:O,"")</f>
        <v>INTERNA</v>
      </c>
      <c r="G137" s="2" t="str">
        <f>_xlfn.XLOOKUP(Tabela3[[#This Row],[ORDEM]],[1]BASE_PROGRAMAÇÃO!A:A,[1]BASE_PROGRAMAÇÃO!L:L,"")</f>
        <v>APOIO</v>
      </c>
      <c r="H137" t="str">
        <f>_xlfn.XLOOKUP(Tabela3[[#This Row],[ORDEM]],[2]S_POST!$C:$C,[2]S_POST!$AG:$AG,"")</f>
        <v xml:space="preserve"> 310000014</v>
      </c>
      <c r="I137" t="str">
        <f>_xlfn.XLOOKUP(Tabela3[[#This Row],[ORDEM]],[1]BASE_PROGRAMAÇÃO!A:A,[1]BASE_PROGRAMAÇÃO!$E:$E,"")</f>
        <v>Primária</v>
      </c>
      <c r="J137" t="str">
        <f>_xlfn.XLOOKUP(Tabela3[[#This Row],[ORDEM]],[1]ENCERRADAS!A:A,[1]ENCERRADAS!B:B,"")</f>
        <v>P</v>
      </c>
    </row>
    <row r="138" spans="1:10" x14ac:dyDescent="0.25">
      <c r="A138" t="str">
        <f>_xlfn.XLOOKUP(Tabela3[[#This Row],[ORDEM]],[1]BASE_PROGRAMAÇÃO!A:A,[1]BASE_PROGRAMAÇÃO!C:C,"")</f>
        <v>CAMINHOES</v>
      </c>
      <c r="B138">
        <f>_xlfn.XLOOKUP(Tabela3[[#This Row],[ORDEM]],[1]BASE_PROGRAMAÇÃO!A:A,[1]BASE_PROGRAMAÇÃO!B:B,"")</f>
        <v>11020001</v>
      </c>
      <c r="C138">
        <v>200272</v>
      </c>
      <c r="D138" t="str">
        <f>_xlfn.XLOOKUP(Tabela3[[#This Row],[Coluna3]],'[1]BASE DE PLANOS'!A:A,'[1]BASE DE PLANOS'!B:B,"")</f>
        <v>Primária</v>
      </c>
      <c r="E138" s="2">
        <f>_xlfn.XLOOKUP(Tabela3[[#This Row],[ORDEM]],[1]BASE_PROGRAMAÇÃO!A:A,[1]BASE_PROGRAMAÇÃO!D:D,"")</f>
        <v>46111</v>
      </c>
      <c r="F138" s="2" t="str">
        <f>_xlfn.XLOOKUP(Tabela3[[#This Row],[ORDEM]],[1]BASE_PROGRAMAÇÃO!A:A,[1]BASE_PROGRAMAÇÃO!O:O,"")</f>
        <v>INTERNA</v>
      </c>
      <c r="G138" s="2" t="str">
        <f>_xlfn.XLOOKUP(Tabela3[[#This Row],[ORDEM]],[1]BASE_PROGRAMAÇÃO!A:A,[1]BASE_PROGRAMAÇÃO!L:L,"")</f>
        <v>APOIO</v>
      </c>
      <c r="H138" t="str">
        <f>_xlfn.XLOOKUP(Tabela3[[#This Row],[ORDEM]],[2]S_POST!$C:$C,[2]S_POST!$AG:$AG,"")</f>
        <v xml:space="preserve"> 310000014</v>
      </c>
      <c r="I138" t="str">
        <f>_xlfn.XLOOKUP(Tabela3[[#This Row],[ORDEM]],[1]BASE_PROGRAMAÇÃO!A:A,[1]BASE_PROGRAMAÇÃO!$E:$E,"")</f>
        <v>Primária</v>
      </c>
      <c r="J138" t="str">
        <f>_xlfn.XLOOKUP(Tabela3[[#This Row],[ORDEM]],[1]ENCERRADAS!A:A,[1]ENCERRADAS!B:B,"")</f>
        <v>P</v>
      </c>
    </row>
    <row r="139" spans="1:10" x14ac:dyDescent="0.25">
      <c r="A139" t="str">
        <f>_xlfn.XLOOKUP(Tabela3[[#This Row],[ORDEM]],[1]BASE_PROGRAMAÇÃO!A:A,[1]BASE_PROGRAMAÇÃO!C:C,"")</f>
        <v>MAQUINAS PESADAS</v>
      </c>
      <c r="B139">
        <f>_xlfn.XLOOKUP(Tabela3[[#This Row],[ORDEM]],[1]BASE_PROGRAMAÇÃO!A:A,[1]BASE_PROGRAMAÇÃO!B:B,"")</f>
        <v>13050008</v>
      </c>
      <c r="C139">
        <v>200271</v>
      </c>
      <c r="D139" t="str">
        <f>_xlfn.XLOOKUP(Tabela3[[#This Row],[Coluna3]],'[1]BASE DE PLANOS'!A:A,'[1]BASE DE PLANOS'!B:B,"")</f>
        <v>Primária</v>
      </c>
      <c r="E139" s="2">
        <f>_xlfn.XLOOKUP(Tabela3[[#This Row],[ORDEM]],[1]BASE_PROGRAMAÇÃO!A:A,[1]BASE_PROGRAMAÇÃO!D:D,"")</f>
        <v>46111</v>
      </c>
      <c r="F139" s="2" t="str">
        <f>_xlfn.XLOOKUP(Tabela3[[#This Row],[ORDEM]],[1]BASE_PROGRAMAÇÃO!A:A,[1]BASE_PROGRAMAÇÃO!O:O,"")</f>
        <v>CAMPO</v>
      </c>
      <c r="G139" s="2" t="str">
        <f>_xlfn.XLOOKUP(Tabela3[[#This Row],[ORDEM]],[1]BASE_PROGRAMAÇÃO!A:A,[1]BASE_PROGRAMAÇÃO!L:L,"")</f>
        <v>APOIO</v>
      </c>
      <c r="H139" t="str">
        <f>_xlfn.XLOOKUP(Tabela3[[#This Row],[ORDEM]],[2]S_POST!$C:$C,[2]S_POST!$AG:$AG,"")</f>
        <v xml:space="preserve"> 310000014</v>
      </c>
      <c r="I139" t="str">
        <f>_xlfn.XLOOKUP(Tabela3[[#This Row],[ORDEM]],[1]BASE_PROGRAMAÇÃO!A:A,[1]BASE_PROGRAMAÇÃO!$E:$E,"")</f>
        <v>Primária</v>
      </c>
      <c r="J139" t="str">
        <f>_xlfn.XLOOKUP(Tabela3[[#This Row],[ORDEM]],[1]ENCERRADAS!A:A,[1]ENCERRADAS!B:B,"")</f>
        <v>P</v>
      </c>
    </row>
    <row r="140" spans="1:10" x14ac:dyDescent="0.25">
      <c r="A140" t="str">
        <f>_xlfn.XLOOKUP(Tabela3[[#This Row],[ORDEM]],[1]BASE_PROGRAMAÇÃO!A:A,[1]BASE_PROGRAMAÇÃO!C:C,"")</f>
        <v>MAQUINAS PESADAS</v>
      </c>
      <c r="B140">
        <f>_xlfn.XLOOKUP(Tabela3[[#This Row],[ORDEM]],[1]BASE_PROGRAMAÇÃO!A:A,[1]BASE_PROGRAMAÇÃO!B:B,"")</f>
        <v>13040001</v>
      </c>
      <c r="C140">
        <v>200270</v>
      </c>
      <c r="D140" t="str">
        <f>_xlfn.XLOOKUP(Tabela3[[#This Row],[Coluna3]],'[1]BASE DE PLANOS'!A:A,'[1]BASE DE PLANOS'!B:B,"")</f>
        <v>Primária</v>
      </c>
      <c r="E140" s="2">
        <f>_xlfn.XLOOKUP(Tabela3[[#This Row],[ORDEM]],[1]BASE_PROGRAMAÇÃO!A:A,[1]BASE_PROGRAMAÇÃO!D:D,"")</f>
        <v>46114</v>
      </c>
      <c r="F140" s="2" t="str">
        <f>_xlfn.XLOOKUP(Tabela3[[#This Row],[ORDEM]],[1]BASE_PROGRAMAÇÃO!A:A,[1]BASE_PROGRAMAÇÃO!O:O,"")</f>
        <v>CAMPO</v>
      </c>
      <c r="G140" s="2" t="str">
        <f>_xlfn.XLOOKUP(Tabela3[[#This Row],[ORDEM]],[1]BASE_PROGRAMAÇÃO!A:A,[1]BASE_PROGRAMAÇÃO!L:L,"")</f>
        <v>APOIO</v>
      </c>
      <c r="H140" t="str">
        <f>_xlfn.XLOOKUP(Tabela3[[#This Row],[ORDEM]],[2]S_POST!$C:$C,[2]S_POST!$AG:$AG,"")</f>
        <v xml:space="preserve"> 310000014</v>
      </c>
      <c r="I140" t="str">
        <f>_xlfn.XLOOKUP(Tabela3[[#This Row],[ORDEM]],[1]BASE_PROGRAMAÇÃO!A:A,[1]BASE_PROGRAMAÇÃO!$E:$E,"")</f>
        <v>Primária</v>
      </c>
      <c r="J140" t="str">
        <f>_xlfn.XLOOKUP(Tabela3[[#This Row],[ORDEM]],[1]ENCERRADAS!A:A,[1]ENCERRADAS!B:B,"")</f>
        <v>P</v>
      </c>
    </row>
    <row r="141" spans="1:10" x14ac:dyDescent="0.25">
      <c r="A141" t="str">
        <f>_xlfn.XLOOKUP(Tabela3[[#This Row],[ORDEM]],[1]BASE_PROGRAMAÇÃO!A:A,[1]BASE_PROGRAMAÇÃO!C:C,"")</f>
        <v>TRATORES</v>
      </c>
      <c r="B141">
        <f>_xlfn.XLOOKUP(Tabela3[[#This Row],[ORDEM]],[1]BASE_PROGRAMAÇÃO!A:A,[1]BASE_PROGRAMAÇÃO!B:B,"")</f>
        <v>13090027</v>
      </c>
      <c r="C141">
        <v>200269</v>
      </c>
      <c r="D141" t="str">
        <f>_xlfn.XLOOKUP(Tabela3[[#This Row],[Coluna3]],'[1]BASE DE PLANOS'!A:A,'[1]BASE DE PLANOS'!B:B,"")</f>
        <v>Primária</v>
      </c>
      <c r="E141" s="2">
        <f>_xlfn.XLOOKUP(Tabela3[[#This Row],[ORDEM]],[1]BASE_PROGRAMAÇÃO!A:A,[1]BASE_PROGRAMAÇÃO!D:D,"")</f>
        <v>46111</v>
      </c>
      <c r="F141" s="2" t="str">
        <f>_xlfn.XLOOKUP(Tabela3[[#This Row],[ORDEM]],[1]BASE_PROGRAMAÇÃO!A:A,[1]BASE_PROGRAMAÇÃO!O:O,"")</f>
        <v>CAMPO</v>
      </c>
      <c r="G141" s="2" t="str">
        <f>_xlfn.XLOOKUP(Tabela3[[#This Row],[ORDEM]],[1]BASE_PROGRAMAÇÃO!A:A,[1]BASE_PROGRAMAÇÃO!L:L,"")</f>
        <v>APOIO</v>
      </c>
      <c r="H141" t="str">
        <f>_xlfn.XLOOKUP(Tabela3[[#This Row],[ORDEM]],[2]S_POST!$C:$C,[2]S_POST!$AG:$AG,"")</f>
        <v xml:space="preserve"> 310000014</v>
      </c>
      <c r="I141" t="str">
        <f>_xlfn.XLOOKUP(Tabela3[[#This Row],[ORDEM]],[1]BASE_PROGRAMAÇÃO!A:A,[1]BASE_PROGRAMAÇÃO!$E:$E,"")</f>
        <v>Primária</v>
      </c>
      <c r="J141" t="str">
        <f>_xlfn.XLOOKUP(Tabela3[[#This Row],[ORDEM]],[1]ENCERRADAS!A:A,[1]ENCERRADAS!B:B,"")</f>
        <v>P</v>
      </c>
    </row>
    <row r="142" spans="1:10" x14ac:dyDescent="0.25">
      <c r="A142" t="str">
        <f>_xlfn.XLOOKUP(Tabela3[[#This Row],[ORDEM]],[1]BASE_PROGRAMAÇÃO!A:A,[1]BASE_PROGRAMAÇÃO!C:C,"")</f>
        <v>CAMINHOES</v>
      </c>
      <c r="B142">
        <f>_xlfn.XLOOKUP(Tabela3[[#This Row],[ORDEM]],[1]BASE_PROGRAMAÇÃO!A:A,[1]BASE_PROGRAMAÇÃO!B:B,"")</f>
        <v>11110115</v>
      </c>
      <c r="C142">
        <v>200268</v>
      </c>
      <c r="D142" t="str">
        <f>_xlfn.XLOOKUP(Tabela3[[#This Row],[Coluna3]],'[1]BASE DE PLANOS'!A:A,'[1]BASE DE PLANOS'!B:B,"")</f>
        <v>Primária</v>
      </c>
      <c r="E142" s="2">
        <f>_xlfn.XLOOKUP(Tabela3[[#This Row],[ORDEM]],[1]BASE_PROGRAMAÇÃO!A:A,[1]BASE_PROGRAMAÇÃO!D:D,"")</f>
        <v>46111</v>
      </c>
      <c r="F142" s="2" t="str">
        <f>_xlfn.XLOOKUP(Tabela3[[#This Row],[ORDEM]],[1]BASE_PROGRAMAÇÃO!A:A,[1]BASE_PROGRAMAÇÃO!O:O,"")</f>
        <v>INTERNA</v>
      </c>
      <c r="G142" s="2" t="str">
        <f>_xlfn.XLOOKUP(Tabela3[[#This Row],[ORDEM]],[1]BASE_PROGRAMAÇÃO!A:A,[1]BASE_PROGRAMAÇÃO!L:L,"")</f>
        <v>AUTOMOTIVA</v>
      </c>
      <c r="H142" t="str">
        <f>_xlfn.XLOOKUP(Tabela3[[#This Row],[ORDEM]],[2]S_POST!$C:$C,[2]S_POST!$AG:$AG,"")</f>
        <v xml:space="preserve"> 310000014</v>
      </c>
      <c r="I142" t="str">
        <f>_xlfn.XLOOKUP(Tabela3[[#This Row],[ORDEM]],[1]BASE_PROGRAMAÇÃO!A:A,[1]BASE_PROGRAMAÇÃO!$E:$E,"")</f>
        <v>Primária</v>
      </c>
      <c r="J142" t="str">
        <f>_xlfn.XLOOKUP(Tabela3[[#This Row],[ORDEM]],[1]ENCERRADAS!A:A,[1]ENCERRADAS!B:B,"")</f>
        <v>P</v>
      </c>
    </row>
    <row r="143" spans="1:10" x14ac:dyDescent="0.25">
      <c r="A143" t="str">
        <f>_xlfn.XLOOKUP(Tabela3[[#This Row],[ORDEM]],[1]BASE_PROGRAMAÇÃO!A:A,[1]BASE_PROGRAMAÇÃO!C:C,"")</f>
        <v>CAMINHOES</v>
      </c>
      <c r="B143">
        <f>_xlfn.XLOOKUP(Tabela3[[#This Row],[ORDEM]],[1]BASE_PROGRAMAÇÃO!A:A,[1]BASE_PROGRAMAÇÃO!B:B,"")</f>
        <v>11110108</v>
      </c>
      <c r="C143">
        <v>200267</v>
      </c>
      <c r="D143" t="str">
        <f>_xlfn.XLOOKUP(Tabela3[[#This Row],[Coluna3]],'[1]BASE DE PLANOS'!A:A,'[1]BASE DE PLANOS'!B:B,"")</f>
        <v>Primária</v>
      </c>
      <c r="E143" s="2">
        <f>_xlfn.XLOOKUP(Tabela3[[#This Row],[ORDEM]],[1]BASE_PROGRAMAÇÃO!A:A,[1]BASE_PROGRAMAÇÃO!D:D,"")</f>
        <v>46111</v>
      </c>
      <c r="F143" s="2" t="str">
        <f>_xlfn.XLOOKUP(Tabela3[[#This Row],[ORDEM]],[1]BASE_PROGRAMAÇÃO!A:A,[1]BASE_PROGRAMAÇÃO!O:O,"")</f>
        <v>INTERNA</v>
      </c>
      <c r="G143" s="2" t="str">
        <f>_xlfn.XLOOKUP(Tabela3[[#This Row],[ORDEM]],[1]BASE_PROGRAMAÇÃO!A:A,[1]BASE_PROGRAMAÇÃO!L:L,"")</f>
        <v>AUTOMOTIVA</v>
      </c>
      <c r="H143" t="str">
        <f>_xlfn.XLOOKUP(Tabela3[[#This Row],[ORDEM]],[2]S_POST!$C:$C,[2]S_POST!$AG:$AG,"")</f>
        <v xml:space="preserve"> 310000014</v>
      </c>
      <c r="I143" t="str">
        <f>_xlfn.XLOOKUP(Tabela3[[#This Row],[ORDEM]],[1]BASE_PROGRAMAÇÃO!A:A,[1]BASE_PROGRAMAÇÃO!$E:$E,"")</f>
        <v>Primária</v>
      </c>
      <c r="J143" t="str">
        <f>_xlfn.XLOOKUP(Tabela3[[#This Row],[ORDEM]],[1]ENCERRADAS!A:A,[1]ENCERRADAS!B:B,"")</f>
        <v>P</v>
      </c>
    </row>
    <row r="144" spans="1:10" x14ac:dyDescent="0.25">
      <c r="A144" t="str">
        <f>_xlfn.XLOOKUP(Tabela3[[#This Row],[ORDEM]],[1]BASE_PROGRAMAÇÃO!A:A,[1]BASE_PROGRAMAÇÃO!C:C,"")</f>
        <v>CAMINHOES</v>
      </c>
      <c r="B144">
        <f>_xlfn.XLOOKUP(Tabela3[[#This Row],[ORDEM]],[1]BASE_PROGRAMAÇÃO!A:A,[1]BASE_PROGRAMAÇÃO!B:B,"")</f>
        <v>11110096</v>
      </c>
      <c r="C144">
        <v>200266</v>
      </c>
      <c r="D144" t="str">
        <f>_xlfn.XLOOKUP(Tabela3[[#This Row],[Coluna3]],'[1]BASE DE PLANOS'!A:A,'[1]BASE DE PLANOS'!B:B,"")</f>
        <v>Primária</v>
      </c>
      <c r="E144" s="2">
        <f>_xlfn.XLOOKUP(Tabela3[[#This Row],[ORDEM]],[1]BASE_PROGRAMAÇÃO!A:A,[1]BASE_PROGRAMAÇÃO!D:D,"")</f>
        <v>46111</v>
      </c>
      <c r="F144" s="2" t="str">
        <f>_xlfn.XLOOKUP(Tabela3[[#This Row],[ORDEM]],[1]BASE_PROGRAMAÇÃO!A:A,[1]BASE_PROGRAMAÇÃO!O:O,"")</f>
        <v>INTERNA</v>
      </c>
      <c r="G144" s="2" t="str">
        <f>_xlfn.XLOOKUP(Tabela3[[#This Row],[ORDEM]],[1]BASE_PROGRAMAÇÃO!A:A,[1]BASE_PROGRAMAÇÃO!L:L,"")</f>
        <v>AUTOMOTIVA</v>
      </c>
      <c r="H144" t="str">
        <f>_xlfn.XLOOKUP(Tabela3[[#This Row],[ORDEM]],[2]S_POST!$C:$C,[2]S_POST!$AG:$AG,"")</f>
        <v xml:space="preserve"> 310000014</v>
      </c>
      <c r="I144" t="str">
        <f>_xlfn.XLOOKUP(Tabela3[[#This Row],[ORDEM]],[1]BASE_PROGRAMAÇÃO!A:A,[1]BASE_PROGRAMAÇÃO!$E:$E,"")</f>
        <v>Primária</v>
      </c>
      <c r="J144" t="str">
        <f>_xlfn.XLOOKUP(Tabela3[[#This Row],[ORDEM]],[1]ENCERRADAS!A:A,[1]ENCERRADAS!B:B,"")</f>
        <v>P</v>
      </c>
    </row>
    <row r="145" spans="1:10" x14ac:dyDescent="0.25">
      <c r="A145" t="str">
        <f>_xlfn.XLOOKUP(Tabela3[[#This Row],[ORDEM]],[1]BASE_PROGRAMAÇÃO!A:A,[1]BASE_PROGRAMAÇÃO!C:C,"")</f>
        <v>CAMINHOES</v>
      </c>
      <c r="B145">
        <f>_xlfn.XLOOKUP(Tabela3[[#This Row],[ORDEM]],[1]BASE_PROGRAMAÇÃO!A:A,[1]BASE_PROGRAMAÇÃO!B:B,"")</f>
        <v>11110009</v>
      </c>
      <c r="C145">
        <v>200265</v>
      </c>
      <c r="D145" t="str">
        <f>_xlfn.XLOOKUP(Tabela3[[#This Row],[Coluna3]],'[1]BASE DE PLANOS'!A:A,'[1]BASE DE PLANOS'!B:B,"")</f>
        <v>Primária</v>
      </c>
      <c r="E145" s="2">
        <f>_xlfn.XLOOKUP(Tabela3[[#This Row],[ORDEM]],[1]BASE_PROGRAMAÇÃO!A:A,[1]BASE_PROGRAMAÇÃO!D:D,"")</f>
        <v>46115</v>
      </c>
      <c r="F145" s="2" t="str">
        <f>_xlfn.XLOOKUP(Tabela3[[#This Row],[ORDEM]],[1]BASE_PROGRAMAÇÃO!A:A,[1]BASE_PROGRAMAÇÃO!O:O,"")</f>
        <v>INTERNA</v>
      </c>
      <c r="G145" s="2" t="str">
        <f>_xlfn.XLOOKUP(Tabela3[[#This Row],[ORDEM]],[1]BASE_PROGRAMAÇÃO!A:A,[1]BASE_PROGRAMAÇÃO!L:L,"")</f>
        <v>AUTOMOTIVA</v>
      </c>
      <c r="H145" t="str">
        <f>_xlfn.XLOOKUP(Tabela3[[#This Row],[ORDEM]],[2]S_POST!$C:$C,[2]S_POST!$AG:$AG,"")</f>
        <v xml:space="preserve"> 310000014</v>
      </c>
      <c r="I145" t="str">
        <f>_xlfn.XLOOKUP(Tabela3[[#This Row],[ORDEM]],[1]BASE_PROGRAMAÇÃO!A:A,[1]BASE_PROGRAMAÇÃO!$E:$E,"")</f>
        <v>Primária</v>
      </c>
      <c r="J145" t="str">
        <f>_xlfn.XLOOKUP(Tabela3[[#This Row],[ORDEM]],[1]ENCERRADAS!A:A,[1]ENCERRADAS!B:B,"")</f>
        <v>P</v>
      </c>
    </row>
    <row r="146" spans="1:10" x14ac:dyDescent="0.25">
      <c r="A146" t="str">
        <f>_xlfn.XLOOKUP(Tabela3[[#This Row],[ORDEM]],[1]BASE_PROGRAMAÇÃO!A:A,[1]BASE_PROGRAMAÇÃO!C:C,"")</f>
        <v>CAMINHOES</v>
      </c>
      <c r="B146">
        <f>_xlfn.XLOOKUP(Tabela3[[#This Row],[ORDEM]],[1]BASE_PROGRAMAÇÃO!A:A,[1]BASE_PROGRAMAÇÃO!B:B,"")</f>
        <v>11110008</v>
      </c>
      <c r="C146">
        <v>200264</v>
      </c>
      <c r="D146" t="str">
        <f>_xlfn.XLOOKUP(Tabela3[[#This Row],[Coluna3]],'[1]BASE DE PLANOS'!A:A,'[1]BASE DE PLANOS'!B:B,"")</f>
        <v>Primária</v>
      </c>
      <c r="E146" s="2">
        <f>_xlfn.XLOOKUP(Tabela3[[#This Row],[ORDEM]],[1]BASE_PROGRAMAÇÃO!A:A,[1]BASE_PROGRAMAÇÃO!D:D,"")</f>
        <v>46114</v>
      </c>
      <c r="F146" s="2" t="str">
        <f>_xlfn.XLOOKUP(Tabela3[[#This Row],[ORDEM]],[1]BASE_PROGRAMAÇÃO!A:A,[1]BASE_PROGRAMAÇÃO!O:O,"")</f>
        <v>INTERNA</v>
      </c>
      <c r="G146" s="2" t="str">
        <f>_xlfn.XLOOKUP(Tabela3[[#This Row],[ORDEM]],[1]BASE_PROGRAMAÇÃO!A:A,[1]BASE_PROGRAMAÇÃO!L:L,"")</f>
        <v>AUTOMOTIVA</v>
      </c>
      <c r="H146" t="str">
        <f>_xlfn.XLOOKUP(Tabela3[[#This Row],[ORDEM]],[2]S_POST!$C:$C,[2]S_POST!$AG:$AG,"")</f>
        <v xml:space="preserve"> 310000014</v>
      </c>
      <c r="I146" t="str">
        <f>_xlfn.XLOOKUP(Tabela3[[#This Row],[ORDEM]],[1]BASE_PROGRAMAÇÃO!A:A,[1]BASE_PROGRAMAÇÃO!$E:$E,"")</f>
        <v>Primária</v>
      </c>
      <c r="J146" t="str">
        <f>_xlfn.XLOOKUP(Tabela3[[#This Row],[ORDEM]],[1]ENCERRADAS!A:A,[1]ENCERRADAS!B:B,"")</f>
        <v>P</v>
      </c>
    </row>
    <row r="147" spans="1:10" x14ac:dyDescent="0.25">
      <c r="A147" t="str">
        <f>_xlfn.XLOOKUP(Tabela3[[#This Row],[ORDEM]],[1]BASE_PROGRAMAÇÃO!A:A,[1]BASE_PROGRAMAÇÃO!C:C,"")</f>
        <v>CAMINHOES</v>
      </c>
      <c r="B147">
        <f>_xlfn.XLOOKUP(Tabela3[[#This Row],[ORDEM]],[1]BASE_PROGRAMAÇÃO!A:A,[1]BASE_PROGRAMAÇÃO!B:B,"")</f>
        <v>11110007</v>
      </c>
      <c r="C147">
        <v>200263</v>
      </c>
      <c r="D147" t="str">
        <f>_xlfn.XLOOKUP(Tabela3[[#This Row],[Coluna3]],'[1]BASE DE PLANOS'!A:A,'[1]BASE DE PLANOS'!B:B,"")</f>
        <v>Primária</v>
      </c>
      <c r="E147" s="2">
        <f>_xlfn.XLOOKUP(Tabela3[[#This Row],[ORDEM]],[1]BASE_PROGRAMAÇÃO!A:A,[1]BASE_PROGRAMAÇÃO!D:D,"")</f>
        <v>46111</v>
      </c>
      <c r="F147" s="2" t="str">
        <f>_xlfn.XLOOKUP(Tabela3[[#This Row],[ORDEM]],[1]BASE_PROGRAMAÇÃO!A:A,[1]BASE_PROGRAMAÇÃO!O:O,"")</f>
        <v>INTERNA</v>
      </c>
      <c r="G147" s="2" t="str">
        <f>_xlfn.XLOOKUP(Tabela3[[#This Row],[ORDEM]],[1]BASE_PROGRAMAÇÃO!A:A,[1]BASE_PROGRAMAÇÃO!L:L,"")</f>
        <v>AUTOMOTIVA</v>
      </c>
      <c r="H147" t="str">
        <f>_xlfn.XLOOKUP(Tabela3[[#This Row],[ORDEM]],[2]S_POST!$C:$C,[2]S_POST!$AG:$AG,"")</f>
        <v xml:space="preserve"> 310000014</v>
      </c>
      <c r="I147" t="str">
        <f>_xlfn.XLOOKUP(Tabela3[[#This Row],[ORDEM]],[1]BASE_PROGRAMAÇÃO!A:A,[1]BASE_PROGRAMAÇÃO!$E:$E,"")</f>
        <v>Primária</v>
      </c>
      <c r="J147" t="str">
        <f>_xlfn.XLOOKUP(Tabela3[[#This Row],[ORDEM]],[1]ENCERRADAS!A:A,[1]ENCERRADAS!B:B,"")</f>
        <v>P</v>
      </c>
    </row>
    <row r="148" spans="1:10" x14ac:dyDescent="0.25">
      <c r="A148" t="str">
        <f>_xlfn.XLOOKUP(Tabela3[[#This Row],[ORDEM]],[1]BASE_PROGRAMAÇÃO!A:A,[1]BASE_PROGRAMAÇÃO!C:C,"")</f>
        <v>CAMINHOES</v>
      </c>
      <c r="B148">
        <f>_xlfn.XLOOKUP(Tabela3[[#This Row],[ORDEM]],[1]BASE_PROGRAMAÇÃO!A:A,[1]BASE_PROGRAMAÇÃO!B:B,"")</f>
        <v>11110006</v>
      </c>
      <c r="C148">
        <v>200262</v>
      </c>
      <c r="D148" t="str">
        <f>_xlfn.XLOOKUP(Tabela3[[#This Row],[Coluna3]],'[1]BASE DE PLANOS'!A:A,'[1]BASE DE PLANOS'!B:B,"")</f>
        <v>Primária</v>
      </c>
      <c r="E148" s="2">
        <f>_xlfn.XLOOKUP(Tabela3[[#This Row],[ORDEM]],[1]BASE_PROGRAMAÇÃO!A:A,[1]BASE_PROGRAMAÇÃO!D:D,"")</f>
        <v>46116</v>
      </c>
      <c r="F148" s="2" t="str">
        <f>_xlfn.XLOOKUP(Tabela3[[#This Row],[ORDEM]],[1]BASE_PROGRAMAÇÃO!A:A,[1]BASE_PROGRAMAÇÃO!O:O,"")</f>
        <v>INTERNA</v>
      </c>
      <c r="G148" s="2" t="str">
        <f>_xlfn.XLOOKUP(Tabela3[[#This Row],[ORDEM]],[1]BASE_PROGRAMAÇÃO!A:A,[1]BASE_PROGRAMAÇÃO!L:L,"")</f>
        <v>AUTOMOTIVA</v>
      </c>
      <c r="H148" t="str">
        <f>_xlfn.XLOOKUP(Tabela3[[#This Row],[ORDEM]],[2]S_POST!$C:$C,[2]S_POST!$AG:$AG,"")</f>
        <v xml:space="preserve"> 310000014</v>
      </c>
      <c r="I148" t="str">
        <f>_xlfn.XLOOKUP(Tabela3[[#This Row],[ORDEM]],[1]BASE_PROGRAMAÇÃO!A:A,[1]BASE_PROGRAMAÇÃO!$E:$E,"")</f>
        <v>Primária</v>
      </c>
      <c r="J148" t="str">
        <f>_xlfn.XLOOKUP(Tabela3[[#This Row],[ORDEM]],[1]ENCERRADAS!A:A,[1]ENCERRADAS!B:B,"")</f>
        <v>P</v>
      </c>
    </row>
    <row r="149" spans="1:10" x14ac:dyDescent="0.25">
      <c r="A149" t="str">
        <f>_xlfn.XLOOKUP(Tabela3[[#This Row],[ORDEM]],[1]BASE_PROGRAMAÇÃO!A:A,[1]BASE_PROGRAMAÇÃO!C:C,"")</f>
        <v>CAMINHOES</v>
      </c>
      <c r="B149">
        <f>_xlfn.XLOOKUP(Tabela3[[#This Row],[ORDEM]],[1]BASE_PROGRAMAÇÃO!A:A,[1]BASE_PROGRAMAÇÃO!B:B,"")</f>
        <v>11110005</v>
      </c>
      <c r="C149">
        <v>200261</v>
      </c>
      <c r="D149" t="str">
        <f>_xlfn.XLOOKUP(Tabela3[[#This Row],[Coluna3]],'[1]BASE DE PLANOS'!A:A,'[1]BASE DE PLANOS'!B:B,"")</f>
        <v>Primária</v>
      </c>
      <c r="E149" s="2">
        <f>_xlfn.XLOOKUP(Tabela3[[#This Row],[ORDEM]],[1]BASE_PROGRAMAÇÃO!A:A,[1]BASE_PROGRAMAÇÃO!D:D,"")</f>
        <v>46115</v>
      </c>
      <c r="F149" s="2" t="str">
        <f>_xlfn.XLOOKUP(Tabela3[[#This Row],[ORDEM]],[1]BASE_PROGRAMAÇÃO!A:A,[1]BASE_PROGRAMAÇÃO!O:O,"")</f>
        <v>INTERNA</v>
      </c>
      <c r="G149" s="2" t="str">
        <f>_xlfn.XLOOKUP(Tabela3[[#This Row],[ORDEM]],[1]BASE_PROGRAMAÇÃO!A:A,[1]BASE_PROGRAMAÇÃO!L:L,"")</f>
        <v>AUTOMOTIVA</v>
      </c>
      <c r="H149" t="str">
        <f>_xlfn.XLOOKUP(Tabela3[[#This Row],[ORDEM]],[2]S_POST!$C:$C,[2]S_POST!$AG:$AG,"")</f>
        <v xml:space="preserve"> 310000014</v>
      </c>
      <c r="I149" t="str">
        <f>_xlfn.XLOOKUP(Tabela3[[#This Row],[ORDEM]],[1]BASE_PROGRAMAÇÃO!A:A,[1]BASE_PROGRAMAÇÃO!$E:$E,"")</f>
        <v>Primária</v>
      </c>
      <c r="J149" t="str">
        <f>_xlfn.XLOOKUP(Tabela3[[#This Row],[ORDEM]],[1]ENCERRADAS!A:A,[1]ENCERRADAS!B:B,"")</f>
        <v>P</v>
      </c>
    </row>
    <row r="150" spans="1:10" x14ac:dyDescent="0.25">
      <c r="A150" t="str">
        <f>_xlfn.XLOOKUP(Tabela3[[#This Row],[ORDEM]],[1]BASE_PROGRAMAÇÃO!A:A,[1]BASE_PROGRAMAÇÃO!C:C,"")</f>
        <v>CAMINHOES</v>
      </c>
      <c r="B150">
        <f>_xlfn.XLOOKUP(Tabela3[[#This Row],[ORDEM]],[1]BASE_PROGRAMAÇÃO!A:A,[1]BASE_PROGRAMAÇÃO!B:B,"")</f>
        <v>11110004</v>
      </c>
      <c r="C150">
        <v>200260</v>
      </c>
      <c r="D150" t="str">
        <f>_xlfn.XLOOKUP(Tabela3[[#This Row],[Coluna3]],'[1]BASE DE PLANOS'!A:A,'[1]BASE DE PLANOS'!B:B,"")</f>
        <v>Primária</v>
      </c>
      <c r="E150" s="2">
        <f>_xlfn.XLOOKUP(Tabela3[[#This Row],[ORDEM]],[1]BASE_PROGRAMAÇÃO!A:A,[1]BASE_PROGRAMAÇÃO!D:D,"")</f>
        <v>46113</v>
      </c>
      <c r="F150" s="2" t="str">
        <f>_xlfn.XLOOKUP(Tabela3[[#This Row],[ORDEM]],[1]BASE_PROGRAMAÇÃO!A:A,[1]BASE_PROGRAMAÇÃO!O:O,"")</f>
        <v>INTERNA</v>
      </c>
      <c r="G150" s="2" t="str">
        <f>_xlfn.XLOOKUP(Tabela3[[#This Row],[ORDEM]],[1]BASE_PROGRAMAÇÃO!A:A,[1]BASE_PROGRAMAÇÃO!L:L,"")</f>
        <v>AUTOMOTIVA</v>
      </c>
      <c r="H150" t="str">
        <f>_xlfn.XLOOKUP(Tabela3[[#This Row],[ORDEM]],[2]S_POST!$C:$C,[2]S_POST!$AG:$AG,"")</f>
        <v xml:space="preserve"> 310000014</v>
      </c>
      <c r="I150" t="str">
        <f>_xlfn.XLOOKUP(Tabela3[[#This Row],[ORDEM]],[1]BASE_PROGRAMAÇÃO!A:A,[1]BASE_PROGRAMAÇÃO!$E:$E,"")</f>
        <v>Primária</v>
      </c>
      <c r="J150" t="str">
        <f>_xlfn.XLOOKUP(Tabela3[[#This Row],[ORDEM]],[1]ENCERRADAS!A:A,[1]ENCERRADAS!B:B,"")</f>
        <v>P</v>
      </c>
    </row>
    <row r="151" spans="1:10" x14ac:dyDescent="0.25">
      <c r="A151" t="str">
        <f>_xlfn.XLOOKUP(Tabela3[[#This Row],[ORDEM]],[1]BASE_PROGRAMAÇÃO!A:A,[1]BASE_PROGRAMAÇÃO!C:C,"")</f>
        <v>CAMINHOES</v>
      </c>
      <c r="B151">
        <f>_xlfn.XLOOKUP(Tabela3[[#This Row],[ORDEM]],[1]BASE_PROGRAMAÇÃO!A:A,[1]BASE_PROGRAMAÇÃO!B:B,"")</f>
        <v>11110003</v>
      </c>
      <c r="C151">
        <v>200259</v>
      </c>
      <c r="D151" t="str">
        <f>_xlfn.XLOOKUP(Tabela3[[#This Row],[Coluna3]],'[1]BASE DE PLANOS'!A:A,'[1]BASE DE PLANOS'!B:B,"")</f>
        <v>Primária</v>
      </c>
      <c r="E151" s="2">
        <f>_xlfn.XLOOKUP(Tabela3[[#This Row],[ORDEM]],[1]BASE_PROGRAMAÇÃO!A:A,[1]BASE_PROGRAMAÇÃO!D:D,"")</f>
        <v>46116</v>
      </c>
      <c r="F151" s="2" t="str">
        <f>_xlfn.XLOOKUP(Tabela3[[#This Row],[ORDEM]],[1]BASE_PROGRAMAÇÃO!A:A,[1]BASE_PROGRAMAÇÃO!O:O,"")</f>
        <v>INTERNA</v>
      </c>
      <c r="G151" s="2" t="str">
        <f>_xlfn.XLOOKUP(Tabela3[[#This Row],[ORDEM]],[1]BASE_PROGRAMAÇÃO!A:A,[1]BASE_PROGRAMAÇÃO!L:L,"")</f>
        <v>AUTOMOTIVA</v>
      </c>
      <c r="H151" t="str">
        <f>_xlfn.XLOOKUP(Tabela3[[#This Row],[ORDEM]],[2]S_POST!$C:$C,[2]S_POST!$AG:$AG,"")</f>
        <v xml:space="preserve"> 310000014</v>
      </c>
      <c r="I151" t="str">
        <f>_xlfn.XLOOKUP(Tabela3[[#This Row],[ORDEM]],[1]BASE_PROGRAMAÇÃO!A:A,[1]BASE_PROGRAMAÇÃO!$E:$E,"")</f>
        <v>Primária</v>
      </c>
      <c r="J151" t="str">
        <f>_xlfn.XLOOKUP(Tabela3[[#This Row],[ORDEM]],[1]ENCERRADAS!A:A,[1]ENCERRADAS!B:B,"")</f>
        <v>P</v>
      </c>
    </row>
    <row r="152" spans="1:10" x14ac:dyDescent="0.25">
      <c r="A152" t="str">
        <f>_xlfn.XLOOKUP(Tabela3[[#This Row],[ORDEM]],[1]BASE_PROGRAMAÇÃO!A:A,[1]BASE_PROGRAMAÇÃO!C:C,"")</f>
        <v>CAMINHOES</v>
      </c>
      <c r="B152">
        <f>_xlfn.XLOOKUP(Tabela3[[#This Row],[ORDEM]],[1]BASE_PROGRAMAÇÃO!A:A,[1]BASE_PROGRAMAÇÃO!B:B,"")</f>
        <v>11110001</v>
      </c>
      <c r="C152">
        <v>200258</v>
      </c>
      <c r="D152" t="str">
        <f>_xlfn.XLOOKUP(Tabela3[[#This Row],[Coluna3]],'[1]BASE DE PLANOS'!A:A,'[1]BASE DE PLANOS'!B:B,"")</f>
        <v>Primária</v>
      </c>
      <c r="E152" s="2">
        <f>_xlfn.XLOOKUP(Tabela3[[#This Row],[ORDEM]],[1]BASE_PROGRAMAÇÃO!A:A,[1]BASE_PROGRAMAÇÃO!D:D,"")</f>
        <v>46111</v>
      </c>
      <c r="F152" s="2" t="str">
        <f>_xlfn.XLOOKUP(Tabela3[[#This Row],[ORDEM]],[1]BASE_PROGRAMAÇÃO!A:A,[1]BASE_PROGRAMAÇÃO!O:O,"")</f>
        <v>INTERNA</v>
      </c>
      <c r="G152" s="2" t="str">
        <f>_xlfn.XLOOKUP(Tabela3[[#This Row],[ORDEM]],[1]BASE_PROGRAMAÇÃO!A:A,[1]BASE_PROGRAMAÇÃO!L:L,"")</f>
        <v>AUTOMOTIVA</v>
      </c>
      <c r="H152" t="str">
        <f>_xlfn.XLOOKUP(Tabela3[[#This Row],[ORDEM]],[2]S_POST!$C:$C,[2]S_POST!$AG:$AG,"")</f>
        <v xml:space="preserve"> 310000014</v>
      </c>
      <c r="I152" t="str">
        <f>_xlfn.XLOOKUP(Tabela3[[#This Row],[ORDEM]],[1]BASE_PROGRAMAÇÃO!A:A,[1]BASE_PROGRAMAÇÃO!$E:$E,"")</f>
        <v>Primária</v>
      </c>
      <c r="J152" t="str">
        <f>_xlfn.XLOOKUP(Tabela3[[#This Row],[ORDEM]],[1]ENCERRADAS!A:A,[1]ENCERRADAS!B:B,"")</f>
        <v>P</v>
      </c>
    </row>
    <row r="153" spans="1:10" x14ac:dyDescent="0.25">
      <c r="A153" t="str">
        <f>_xlfn.XLOOKUP(Tabela3[[#This Row],[ORDEM]],[1]BASE_PROGRAMAÇÃO!A:A,[1]BASE_PROGRAMAÇÃO!C:C,"")</f>
        <v>VEICULOS LEVES</v>
      </c>
      <c r="B153">
        <f>_xlfn.XLOOKUP(Tabela3[[#This Row],[ORDEM]],[1]BASE_PROGRAMAÇÃO!A:A,[1]BASE_PROGRAMAÇÃO!B:B,"")</f>
        <v>12010218</v>
      </c>
      <c r="C153">
        <v>200257</v>
      </c>
      <c r="D153" t="str">
        <f>_xlfn.XLOOKUP(Tabela3[[#This Row],[Coluna3]],'[1]BASE DE PLANOS'!A:A,'[1]BASE DE PLANOS'!B:B,"")</f>
        <v>Primária</v>
      </c>
      <c r="E153" s="2">
        <f>_xlfn.XLOOKUP(Tabela3[[#This Row],[ORDEM]],[1]BASE_PROGRAMAÇÃO!A:A,[1]BASE_PROGRAMAÇÃO!D:D,"")</f>
        <v>46111</v>
      </c>
      <c r="F153" s="2" t="str">
        <f>_xlfn.XLOOKUP(Tabela3[[#This Row],[ORDEM]],[1]BASE_PROGRAMAÇÃO!A:A,[1]BASE_PROGRAMAÇÃO!O:O,"")</f>
        <v>INTERNA</v>
      </c>
      <c r="G153" s="2" t="str">
        <f>_xlfn.XLOOKUP(Tabela3[[#This Row],[ORDEM]],[1]BASE_PROGRAMAÇÃO!A:A,[1]BASE_PROGRAMAÇÃO!L:L,"")</f>
        <v>ADMINISTRATIVO</v>
      </c>
      <c r="H153" t="str">
        <f>_xlfn.XLOOKUP(Tabela3[[#This Row],[ORDEM]],[2]S_POST!$C:$C,[2]S_POST!$AG:$AG,"")</f>
        <v xml:space="preserve"> 310000014</v>
      </c>
      <c r="I153" t="str">
        <f>_xlfn.XLOOKUP(Tabela3[[#This Row],[ORDEM]],[1]BASE_PROGRAMAÇÃO!A:A,[1]BASE_PROGRAMAÇÃO!$E:$E,"")</f>
        <v>Primária</v>
      </c>
      <c r="J153" t="str">
        <f>_xlfn.XLOOKUP(Tabela3[[#This Row],[ORDEM]],[1]ENCERRADAS!A:A,[1]ENCERRADAS!B:B,"")</f>
        <v>P</v>
      </c>
    </row>
    <row r="154" spans="1:10" x14ac:dyDescent="0.25">
      <c r="A154" t="str">
        <f>_xlfn.XLOOKUP(Tabela3[[#This Row],[ORDEM]],[1]BASE_PROGRAMAÇÃO!A:A,[1]BASE_PROGRAMAÇÃO!C:C,"")</f>
        <v>CAMINHOES</v>
      </c>
      <c r="B154">
        <f>_xlfn.XLOOKUP(Tabela3[[#This Row],[ORDEM]],[1]BASE_PROGRAMAÇÃO!A:A,[1]BASE_PROGRAMAÇÃO!B:B,"")</f>
        <v>11160026</v>
      </c>
      <c r="C154">
        <v>200256</v>
      </c>
      <c r="D154" t="str">
        <f>_xlfn.XLOOKUP(Tabela3[[#This Row],[Coluna3]],'[1]BASE DE PLANOS'!A:A,'[1]BASE DE PLANOS'!B:B,"")</f>
        <v>Primária</v>
      </c>
      <c r="E154" s="2">
        <f>_xlfn.XLOOKUP(Tabela3[[#This Row],[ORDEM]],[1]BASE_PROGRAMAÇÃO!A:A,[1]BASE_PROGRAMAÇÃO!D:D,"")</f>
        <v>46113</v>
      </c>
      <c r="F154" s="2" t="str">
        <f>_xlfn.XLOOKUP(Tabela3[[#This Row],[ORDEM]],[1]BASE_PROGRAMAÇÃO!A:A,[1]BASE_PROGRAMAÇÃO!O:O,"")</f>
        <v>INTERNA</v>
      </c>
      <c r="G154" s="2" t="str">
        <f>_xlfn.XLOOKUP(Tabela3[[#This Row],[ORDEM]],[1]BASE_PROGRAMAÇÃO!A:A,[1]BASE_PROGRAMAÇÃO!L:L,"")</f>
        <v>ADMINISTRATIVO</v>
      </c>
      <c r="H154" t="str">
        <f>_xlfn.XLOOKUP(Tabela3[[#This Row],[ORDEM]],[2]S_POST!$C:$C,[2]S_POST!$AG:$AG,"")</f>
        <v xml:space="preserve"> 310000014</v>
      </c>
      <c r="I154" t="str">
        <f>_xlfn.XLOOKUP(Tabela3[[#This Row],[ORDEM]],[1]BASE_PROGRAMAÇÃO!A:A,[1]BASE_PROGRAMAÇÃO!$E:$E,"")</f>
        <v>Primária</v>
      </c>
      <c r="J154" t="str">
        <f>_xlfn.XLOOKUP(Tabela3[[#This Row],[ORDEM]],[1]ENCERRADAS!A:A,[1]ENCERRADAS!B:B,"")</f>
        <v>P</v>
      </c>
    </row>
    <row r="155" spans="1:10" x14ac:dyDescent="0.25">
      <c r="A155" t="str">
        <f>_xlfn.XLOOKUP(Tabela3[[#This Row],[ORDEM]],[1]BASE_PROGRAMAÇÃO!A:A,[1]BASE_PROGRAMAÇÃO!C:C,"")</f>
        <v>CAMINHOES</v>
      </c>
      <c r="B155">
        <f>_xlfn.XLOOKUP(Tabela3[[#This Row],[ORDEM]],[1]BASE_PROGRAMAÇÃO!A:A,[1]BASE_PROGRAMAÇÃO!B:B,"")</f>
        <v>11160012</v>
      </c>
      <c r="C155">
        <v>200255</v>
      </c>
      <c r="D155" t="str">
        <f>_xlfn.XLOOKUP(Tabela3[[#This Row],[Coluna3]],'[1]BASE DE PLANOS'!A:A,'[1]BASE DE PLANOS'!B:B,"")</f>
        <v>Primária</v>
      </c>
      <c r="E155" s="2">
        <f>_xlfn.XLOOKUP(Tabela3[[#This Row],[ORDEM]],[1]BASE_PROGRAMAÇÃO!A:A,[1]BASE_PROGRAMAÇÃO!D:D,"")</f>
        <v>46116</v>
      </c>
      <c r="F155" s="2" t="str">
        <f>_xlfn.XLOOKUP(Tabela3[[#This Row],[ORDEM]],[1]BASE_PROGRAMAÇÃO!A:A,[1]BASE_PROGRAMAÇÃO!O:O,"")</f>
        <v>INTERNA</v>
      </c>
      <c r="G155" s="2" t="str">
        <f>_xlfn.XLOOKUP(Tabela3[[#This Row],[ORDEM]],[1]BASE_PROGRAMAÇÃO!A:A,[1]BASE_PROGRAMAÇÃO!L:L,"")</f>
        <v>ADMINISTRATIVO</v>
      </c>
      <c r="H155" t="str">
        <f>_xlfn.XLOOKUP(Tabela3[[#This Row],[ORDEM]],[2]S_POST!$C:$C,[2]S_POST!$AG:$AG,"")</f>
        <v xml:space="preserve"> 310000014</v>
      </c>
      <c r="I155" t="str">
        <f>_xlfn.XLOOKUP(Tabela3[[#This Row],[ORDEM]],[1]BASE_PROGRAMAÇÃO!A:A,[1]BASE_PROGRAMAÇÃO!$E:$E,"")</f>
        <v>Primária</v>
      </c>
      <c r="J155" t="str">
        <f>_xlfn.XLOOKUP(Tabela3[[#This Row],[ORDEM]],[1]ENCERRADAS!A:A,[1]ENCERRADAS!B:B,"")</f>
        <v>P</v>
      </c>
    </row>
    <row r="156" spans="1:10" x14ac:dyDescent="0.25">
      <c r="A156" t="str">
        <f>_xlfn.XLOOKUP(Tabela3[[#This Row],[ORDEM]],[1]BASE_PROGRAMAÇÃO!A:A,[1]BASE_PROGRAMAÇÃO!C:C,"")</f>
        <v>TRATORES</v>
      </c>
      <c r="B156">
        <f>_xlfn.XLOOKUP(Tabela3[[#This Row],[ORDEM]],[1]BASE_PROGRAMAÇÃO!A:A,[1]BASE_PROGRAMAÇÃO!B:B,"")</f>
        <v>13120001</v>
      </c>
      <c r="C156">
        <v>200254</v>
      </c>
      <c r="D156" t="str">
        <f>_xlfn.XLOOKUP(Tabela3[[#This Row],[Coluna3]],'[1]BASE DE PLANOS'!A:A,'[1]BASE DE PLANOS'!B:B,"")</f>
        <v>Primária</v>
      </c>
      <c r="E156" s="2">
        <f>_xlfn.XLOOKUP(Tabela3[[#This Row],[ORDEM]],[1]BASE_PROGRAMAÇÃO!A:A,[1]BASE_PROGRAMAÇÃO!D:D,"")</f>
        <v>46113</v>
      </c>
      <c r="F156" s="2" t="str">
        <f>_xlfn.XLOOKUP(Tabela3[[#This Row],[ORDEM]],[1]BASE_PROGRAMAÇÃO!A:A,[1]BASE_PROGRAMAÇÃO!O:O,"")</f>
        <v>CAMPO</v>
      </c>
      <c r="G156" s="2" t="str">
        <f>_xlfn.XLOOKUP(Tabela3[[#This Row],[ORDEM]],[1]BASE_PROGRAMAÇÃO!A:A,[1]BASE_PROGRAMAÇÃO!L:L,"")</f>
        <v>ADMINISTRATIVO</v>
      </c>
      <c r="H156" t="str">
        <f>_xlfn.XLOOKUP(Tabela3[[#This Row],[ORDEM]],[2]S_POST!$C:$C,[2]S_POST!$AG:$AG,"")</f>
        <v xml:space="preserve"> 310000014</v>
      </c>
      <c r="I156" t="str">
        <f>_xlfn.XLOOKUP(Tabela3[[#This Row],[ORDEM]],[1]BASE_PROGRAMAÇÃO!A:A,[1]BASE_PROGRAMAÇÃO!$E:$E,"")</f>
        <v>Primária</v>
      </c>
      <c r="J156" t="str">
        <f>_xlfn.XLOOKUP(Tabela3[[#This Row],[ORDEM]],[1]ENCERRADAS!A:A,[1]ENCERRADAS!B:B,"")</f>
        <v>P</v>
      </c>
    </row>
    <row r="157" spans="1:10" x14ac:dyDescent="0.25">
      <c r="A157" t="str">
        <f>_xlfn.XLOOKUP(Tabela3[[#This Row],[ORDEM]],[1]BASE_PROGRAMAÇÃO!A:A,[1]BASE_PROGRAMAÇÃO!C:C,"")</f>
        <v>COLHEDORAS</v>
      </c>
      <c r="B157">
        <f>_xlfn.XLOOKUP(Tabela3[[#This Row],[ORDEM]],[1]BASE_PROGRAMAÇÃO!A:A,[1]BASE_PROGRAMAÇÃO!B:B,"")</f>
        <v>13020045</v>
      </c>
      <c r="C157">
        <v>199938</v>
      </c>
      <c r="D157" t="str">
        <f>_xlfn.XLOOKUP(Tabela3[[#This Row],[Coluna3]],'[1]BASE DE PLANOS'!A:A,'[1]BASE DE PLANOS'!B:B,"")</f>
        <v>Coleta</v>
      </c>
      <c r="E157" s="2">
        <f>_xlfn.XLOOKUP(Tabela3[[#This Row],[ORDEM]],[1]BASE_PROGRAMAÇÃO!A:A,[1]BASE_PROGRAMAÇÃO!D:D,"")</f>
        <v>46112</v>
      </c>
      <c r="F157" s="2" t="str">
        <f>_xlfn.XLOOKUP(Tabela3[[#This Row],[ORDEM]],[1]BASE_PROGRAMAÇÃO!A:A,[1]BASE_PROGRAMAÇÃO!O:O,"")</f>
        <v>CAMPO</v>
      </c>
      <c r="G157" s="2" t="str">
        <f>_xlfn.XLOOKUP(Tabela3[[#This Row],[ORDEM]],[1]BASE_PROGRAMAÇÃO!A:A,[1]BASE_PROGRAMAÇÃO!L:L,"")</f>
        <v>COLHEITA</v>
      </c>
      <c r="H157" t="str">
        <f>_xlfn.XLOOKUP(Tabela3[[#This Row],[ORDEM]],[2]S_POST!$C:$C,[2]S_POST!$AG:$AG,"")</f>
        <v xml:space="preserve"> 100000185</v>
      </c>
      <c r="I157" t="str">
        <f>_xlfn.XLOOKUP(Tabela3[[#This Row],[ORDEM]],[1]BASE_PROGRAMAÇÃO!A:A,[1]BASE_PROGRAMAÇÃO!$E:$E,"")</f>
        <v>Lubrificação</v>
      </c>
      <c r="J157" t="str">
        <f>_xlfn.XLOOKUP(Tabela3[[#This Row],[ORDEM]],[1]ENCERRADAS!A:A,[1]ENCERRADAS!B:B,"")</f>
        <v>P</v>
      </c>
    </row>
    <row r="158" spans="1:10" x14ac:dyDescent="0.25">
      <c r="A158" t="str">
        <f>_xlfn.XLOOKUP(Tabela3[[#This Row],[ORDEM]],[1]BASE_PROGRAMAÇÃO!A:A,[1]BASE_PROGRAMAÇÃO!C:C,"")</f>
        <v>COLHEDORAS</v>
      </c>
      <c r="B158">
        <f>_xlfn.XLOOKUP(Tabela3[[#This Row],[ORDEM]],[1]BASE_PROGRAMAÇÃO!A:A,[1]BASE_PROGRAMAÇÃO!B:B,"")</f>
        <v>13020037</v>
      </c>
      <c r="C158">
        <v>199937</v>
      </c>
      <c r="D158" t="str">
        <f>_xlfn.XLOOKUP(Tabela3[[#This Row],[Coluna3]],'[1]BASE DE PLANOS'!A:A,'[1]BASE DE PLANOS'!B:B,"")</f>
        <v>Lubrificação</v>
      </c>
      <c r="E158" s="2">
        <f>_xlfn.XLOOKUP(Tabela3[[#This Row],[ORDEM]],[1]BASE_PROGRAMAÇÃO!A:A,[1]BASE_PROGRAMAÇÃO!D:D,"")</f>
        <v>46111</v>
      </c>
      <c r="F158" s="2" t="str">
        <f>_xlfn.XLOOKUP(Tabela3[[#This Row],[ORDEM]],[1]BASE_PROGRAMAÇÃO!A:A,[1]BASE_PROGRAMAÇÃO!O:O,"")</f>
        <v>CAMPO</v>
      </c>
      <c r="G158" s="2" t="str">
        <f>_xlfn.XLOOKUP(Tabela3[[#This Row],[ORDEM]],[1]BASE_PROGRAMAÇÃO!A:A,[1]BASE_PROGRAMAÇÃO!L:L,"")</f>
        <v>COLHEITA</v>
      </c>
      <c r="H158" t="str">
        <f>_xlfn.XLOOKUP(Tabela3[[#This Row],[ORDEM]],[2]S_POST!$C:$C,[2]S_POST!$AG:$AG,"")</f>
        <v xml:space="preserve"> 100000750/100000375/100000185</v>
      </c>
      <c r="I158" t="str">
        <f>_xlfn.XLOOKUP(Tabela3[[#This Row],[ORDEM]],[1]BASE_PROGRAMAÇÃO!A:A,[1]BASE_PROGRAMAÇÃO!$E:$E,"")</f>
        <v>Lubrificação</v>
      </c>
      <c r="J158" t="str">
        <f>_xlfn.XLOOKUP(Tabela3[[#This Row],[ORDEM]],[1]ENCERRADAS!A:A,[1]ENCERRADAS!B:B,"")</f>
        <v>P</v>
      </c>
    </row>
    <row r="159" spans="1:10" x14ac:dyDescent="0.25">
      <c r="A159" t="str">
        <f>_xlfn.XLOOKUP(Tabela3[[#This Row],[ORDEM]],[1]BASE_PROGRAMAÇÃO!A:A,[1]BASE_PROGRAMAÇÃO!C:C,"")</f>
        <v>COLHEDORAS</v>
      </c>
      <c r="B159">
        <f>_xlfn.XLOOKUP(Tabela3[[#This Row],[ORDEM]],[1]BASE_PROGRAMAÇÃO!A:A,[1]BASE_PROGRAMAÇÃO!B:B,"")</f>
        <v>13020197</v>
      </c>
      <c r="C159">
        <v>199934</v>
      </c>
      <c r="D159" t="str">
        <f>_xlfn.XLOOKUP(Tabela3[[#This Row],[Coluna3]],'[1]BASE DE PLANOS'!A:A,'[1]BASE DE PLANOS'!B:B,"")</f>
        <v>Coleta</v>
      </c>
      <c r="E159" s="2">
        <f>_xlfn.XLOOKUP(Tabela3[[#This Row],[ORDEM]],[1]BASE_PROGRAMAÇÃO!A:A,[1]BASE_PROGRAMAÇÃO!D:D,"")</f>
        <v>46115</v>
      </c>
      <c r="F159" s="2" t="str">
        <f>_xlfn.XLOOKUP(Tabela3[[#This Row],[ORDEM]],[1]BASE_PROGRAMAÇÃO!A:A,[1]BASE_PROGRAMAÇÃO!O:O,"")</f>
        <v>CAMPO</v>
      </c>
      <c r="G159" s="2" t="str">
        <f>_xlfn.XLOOKUP(Tabela3[[#This Row],[ORDEM]],[1]BASE_PROGRAMAÇÃO!A:A,[1]BASE_PROGRAMAÇÃO!L:L,"")</f>
        <v>COLHEITA</v>
      </c>
      <c r="H159" t="str">
        <f>_xlfn.XLOOKUP(Tabela3[[#This Row],[ORDEM]],[2]S_POST!$C:$C,[2]S_POST!$AG:$AG,"")</f>
        <v xml:space="preserve"> 100000185</v>
      </c>
      <c r="I159" t="str">
        <f>_xlfn.XLOOKUP(Tabela3[[#This Row],[ORDEM]],[1]BASE_PROGRAMAÇÃO!A:A,[1]BASE_PROGRAMAÇÃO!$E:$E,"")</f>
        <v>Lubrificação</v>
      </c>
      <c r="J159" t="str">
        <f>_xlfn.XLOOKUP(Tabela3[[#This Row],[ORDEM]],[1]ENCERRADAS!A:A,[1]ENCERRADAS!B:B,"")</f>
        <v>P</v>
      </c>
    </row>
    <row r="160" spans="1:10" x14ac:dyDescent="0.25">
      <c r="A160" t="str">
        <f>_xlfn.XLOOKUP(Tabela3[[#This Row],[ORDEM]],[1]BASE_PROGRAMAÇÃO!A:A,[1]BASE_PROGRAMAÇÃO!C:C,"")</f>
        <v>CAMINHOES</v>
      </c>
      <c r="B160">
        <f>_xlfn.XLOOKUP(Tabela3[[#This Row],[ORDEM]],[1]BASE_PROGRAMAÇÃO!A:A,[1]BASE_PROGRAMAÇÃO!B:B,"")</f>
        <v>11120115</v>
      </c>
      <c r="C160">
        <v>199932</v>
      </c>
      <c r="D160" t="str">
        <f>_xlfn.XLOOKUP(Tabela3[[#This Row],[Coluna3]],'[1]BASE DE PLANOS'!A:A,'[1]BASE DE PLANOS'!B:B,"")</f>
        <v>Coleta</v>
      </c>
      <c r="E160" s="2">
        <f>_xlfn.XLOOKUP(Tabela3[[#This Row],[ORDEM]],[1]BASE_PROGRAMAÇÃO!A:A,[1]BASE_PROGRAMAÇÃO!D:D,"")</f>
        <v>46114</v>
      </c>
      <c r="F160" s="2" t="str">
        <f>_xlfn.XLOOKUP(Tabela3[[#This Row],[ORDEM]],[1]BASE_PROGRAMAÇÃO!A:A,[1]BASE_PROGRAMAÇÃO!O:O,"")</f>
        <v>INTERNA</v>
      </c>
      <c r="G160" s="2" t="str">
        <f>_xlfn.XLOOKUP(Tabela3[[#This Row],[ORDEM]],[1]BASE_PROGRAMAÇÃO!A:A,[1]BASE_PROGRAMAÇÃO!L:L,"")</f>
        <v>APOIO</v>
      </c>
      <c r="H160" t="str">
        <f>_xlfn.XLOOKUP(Tabela3[[#This Row],[ORDEM]],[2]S_POST!$C:$C,[2]S_POST!$AG:$AG,"")</f>
        <v xml:space="preserve"> 100010000</v>
      </c>
      <c r="I160" t="str">
        <f>_xlfn.XLOOKUP(Tabela3[[#This Row],[ORDEM]],[1]BASE_PROGRAMAÇÃO!A:A,[1]BASE_PROGRAMAÇÃO!$E:$E,"")</f>
        <v>Lubrificação</v>
      </c>
      <c r="J160" t="str">
        <f>_xlfn.XLOOKUP(Tabela3[[#This Row],[ORDEM]],[1]ENCERRADAS!A:A,[1]ENCERRADAS!B:B,"")</f>
        <v>P</v>
      </c>
    </row>
    <row r="161" spans="1:10" x14ac:dyDescent="0.25">
      <c r="A161" t="str">
        <f>_xlfn.XLOOKUP(Tabela3[[#This Row],[ORDEM]],[1]BASE_PROGRAMAÇÃO!A:A,[1]BASE_PROGRAMAÇÃO!C:C,"")</f>
        <v>CAMINHOES</v>
      </c>
      <c r="B161">
        <f>_xlfn.XLOOKUP(Tabela3[[#This Row],[ORDEM]],[1]BASE_PROGRAMAÇÃO!A:A,[1]BASE_PROGRAMAÇÃO!B:B,"")</f>
        <v>11120126</v>
      </c>
      <c r="C161">
        <v>199930</v>
      </c>
      <c r="D161" t="str">
        <f>_xlfn.XLOOKUP(Tabela3[[#This Row],[Coluna3]],'[1]BASE DE PLANOS'!A:A,'[1]BASE DE PLANOS'!B:B,"")</f>
        <v/>
      </c>
      <c r="E161" s="2">
        <f>_xlfn.XLOOKUP(Tabela3[[#This Row],[ORDEM]],[1]BASE_PROGRAMAÇÃO!A:A,[1]BASE_PROGRAMAÇÃO!D:D,"")</f>
        <v>46111</v>
      </c>
      <c r="F161" s="2" t="str">
        <f>_xlfn.XLOOKUP(Tabela3[[#This Row],[ORDEM]],[1]BASE_PROGRAMAÇÃO!A:A,[1]BASE_PROGRAMAÇÃO!O:O,"")</f>
        <v>INTERNA</v>
      </c>
      <c r="G161" s="2" t="str">
        <f>_xlfn.XLOOKUP(Tabela3[[#This Row],[ORDEM]],[1]BASE_PROGRAMAÇÃO!A:A,[1]BASE_PROGRAMAÇÃO!L:L,"")</f>
        <v>APOIO</v>
      </c>
      <c r="H161" t="str">
        <f>_xlfn.XLOOKUP(Tabela3[[#This Row],[ORDEM]],[2]S_POST!$C:$C,[2]S_POST!$AG:$AG,"")</f>
        <v xml:space="preserve"> 100060000/100040000/100020000/100010000</v>
      </c>
      <c r="I161" t="str">
        <f>_xlfn.XLOOKUP(Tabela3[[#This Row],[ORDEM]],[1]BASE_PROGRAMAÇÃO!A:A,[1]BASE_PROGRAMAÇÃO!$E:$E,"")</f>
        <v>Lubrificação</v>
      </c>
      <c r="J161" t="str">
        <f>_xlfn.XLOOKUP(Tabela3[[#This Row],[ORDEM]],[1]ENCERRADAS!A:A,[1]ENCERRADAS!B:B,"")</f>
        <v>P</v>
      </c>
    </row>
    <row r="162" spans="1:10" x14ac:dyDescent="0.25">
      <c r="A162" t="str">
        <f>_xlfn.XLOOKUP(Tabela3[[#This Row],[ORDEM]],[1]BASE_PROGRAMAÇÃO!A:A,[1]BASE_PROGRAMAÇÃO!C:C,"")</f>
        <v>MAQUINAS PESADAS</v>
      </c>
      <c r="B162">
        <f>_xlfn.XLOOKUP(Tabela3[[#This Row],[ORDEM]],[1]BASE_PROGRAMAÇÃO!A:A,[1]BASE_PROGRAMAÇÃO!B:B,"")</f>
        <v>13050008</v>
      </c>
      <c r="C162">
        <v>199928</v>
      </c>
      <c r="D162" t="str">
        <f>_xlfn.XLOOKUP(Tabela3[[#This Row],[Coluna3]],'[1]BASE DE PLANOS'!A:A,'[1]BASE DE PLANOS'!B:B,"")</f>
        <v>Coleta</v>
      </c>
      <c r="E162" s="2">
        <f>_xlfn.XLOOKUP(Tabela3[[#This Row],[ORDEM]],[1]BASE_PROGRAMAÇÃO!A:A,[1]BASE_PROGRAMAÇÃO!D:D,"")</f>
        <v>46111</v>
      </c>
      <c r="F162" s="2" t="str">
        <f>_xlfn.XLOOKUP(Tabela3[[#This Row],[ORDEM]],[1]BASE_PROGRAMAÇÃO!A:A,[1]BASE_PROGRAMAÇÃO!O:O,"")</f>
        <v>CAMPO</v>
      </c>
      <c r="G162" s="2" t="str">
        <f>_xlfn.XLOOKUP(Tabela3[[#This Row],[ORDEM]],[1]BASE_PROGRAMAÇÃO!A:A,[1]BASE_PROGRAMAÇÃO!L:L,"")</f>
        <v>APOIO</v>
      </c>
      <c r="H162" t="str">
        <f>_xlfn.XLOOKUP(Tabela3[[#This Row],[ORDEM]],[2]S_POST!$C:$C,[2]S_POST!$AG:$AG,"")</f>
        <v xml:space="preserve"> 100000250</v>
      </c>
      <c r="I162" t="str">
        <f>_xlfn.XLOOKUP(Tabela3[[#This Row],[ORDEM]],[1]BASE_PROGRAMAÇÃO!A:A,[1]BASE_PROGRAMAÇÃO!$E:$E,"")</f>
        <v>Lubrificação</v>
      </c>
      <c r="J162" t="str">
        <f>_xlfn.XLOOKUP(Tabela3[[#This Row],[ORDEM]],[1]ENCERRADAS!A:A,[1]ENCERRADAS!B:B,"")</f>
        <v>P</v>
      </c>
    </row>
    <row r="163" spans="1:10" x14ac:dyDescent="0.25">
      <c r="A163" t="str">
        <f>_xlfn.XLOOKUP(Tabela3[[#This Row],[ORDEM]],[1]BASE_PROGRAMAÇÃO!A:A,[1]BASE_PROGRAMAÇÃO!C:C,"")</f>
        <v>CAMINHOES</v>
      </c>
      <c r="B163">
        <f>_xlfn.XLOOKUP(Tabela3[[#This Row],[ORDEM]],[1]BASE_PROGRAMAÇÃO!A:A,[1]BASE_PROGRAMAÇÃO!B:B,"")</f>
        <v>11020033</v>
      </c>
      <c r="C163">
        <v>199480</v>
      </c>
      <c r="D163" t="str">
        <f>_xlfn.XLOOKUP(Tabela3[[#This Row],[Coluna3]],'[1]BASE DE PLANOS'!A:A,'[1]BASE DE PLANOS'!B:B,"")</f>
        <v>Lubrificação</v>
      </c>
      <c r="E163" s="2">
        <f>_xlfn.XLOOKUP(Tabela3[[#This Row],[ORDEM]],[1]BASE_PROGRAMAÇÃO!A:A,[1]BASE_PROGRAMAÇÃO!D:D,"")</f>
        <v>46116</v>
      </c>
      <c r="F163" s="2" t="str">
        <f>_xlfn.XLOOKUP(Tabela3[[#This Row],[ORDEM]],[1]BASE_PROGRAMAÇÃO!A:A,[1]BASE_PROGRAMAÇÃO!O:O,"")</f>
        <v>INTERNA</v>
      </c>
      <c r="G163" s="2" t="str">
        <f>_xlfn.XLOOKUP(Tabela3[[#This Row],[ORDEM]],[1]BASE_PROGRAMAÇÃO!A:A,[1]BASE_PROGRAMAÇÃO!L:L,"")</f>
        <v>INDÚSTRIA</v>
      </c>
      <c r="H163" t="str">
        <f>_xlfn.XLOOKUP(Tabela3[[#This Row],[ORDEM]],[2]S_POST!$C:$C,[2]S_POST!$AG:$AG,"")</f>
        <v xml:space="preserve"> 110060000/110040000/110020000/100010000</v>
      </c>
      <c r="I163" t="str">
        <f>_xlfn.XLOOKUP(Tabela3[[#This Row],[ORDEM]],[1]BASE_PROGRAMAÇÃO!A:A,[1]BASE_PROGRAMAÇÃO!$E:$E,"")</f>
        <v>Lubrificação</v>
      </c>
      <c r="J163" t="str">
        <f>_xlfn.XLOOKUP(Tabela3[[#This Row],[ORDEM]],[1]ENCERRADAS!A:A,[1]ENCERRADAS!B:B,"")</f>
        <v>P</v>
      </c>
    </row>
    <row r="164" spans="1:10" x14ac:dyDescent="0.25">
      <c r="A164" t="str">
        <f>_xlfn.XLOOKUP(Tabela3[[#This Row],[ORDEM]],[1]BASE_PROGRAMAÇÃO!A:A,[1]BASE_PROGRAMAÇÃO!C:C,"")</f>
        <v>TRATORES</v>
      </c>
      <c r="B164">
        <f>_xlfn.XLOOKUP(Tabela3[[#This Row],[ORDEM]],[1]BASE_PROGRAMAÇÃO!A:A,[1]BASE_PROGRAMAÇÃO!B:B,"")</f>
        <v>13100025</v>
      </c>
      <c r="C164">
        <v>199479</v>
      </c>
      <c r="D164" t="str">
        <f>_xlfn.XLOOKUP(Tabela3[[#This Row],[Coluna3]],'[1]BASE DE PLANOS'!A:A,'[1]BASE DE PLANOS'!B:B,"")</f>
        <v>Lubrificação</v>
      </c>
      <c r="E164" s="2">
        <f>_xlfn.XLOOKUP(Tabela3[[#This Row],[ORDEM]],[1]BASE_PROGRAMAÇÃO!A:A,[1]BASE_PROGRAMAÇÃO!D:D,"")</f>
        <v>46116</v>
      </c>
      <c r="F164" s="2" t="str">
        <f>_xlfn.XLOOKUP(Tabela3[[#This Row],[ORDEM]],[1]BASE_PROGRAMAÇÃO!A:A,[1]BASE_PROGRAMAÇÃO!O:O,"")</f>
        <v>CAMPO</v>
      </c>
      <c r="G164" s="2" t="str">
        <f>_xlfn.XLOOKUP(Tabela3[[#This Row],[ORDEM]],[1]BASE_PROGRAMAÇÃO!A:A,[1]BASE_PROGRAMAÇÃO!L:L,"")</f>
        <v>COLHEITA</v>
      </c>
      <c r="H164" t="str">
        <f>_xlfn.XLOOKUP(Tabela3[[#This Row],[ORDEM]],[2]S_POST!$C:$C,[2]S_POST!$AG:$AG,"")</f>
        <v xml:space="preserve"> 110001000/110000500/100000250</v>
      </c>
      <c r="I164" t="str">
        <f>_xlfn.XLOOKUP(Tabela3[[#This Row],[ORDEM]],[1]BASE_PROGRAMAÇÃO!A:A,[1]BASE_PROGRAMAÇÃO!$E:$E,"")</f>
        <v>Lubrificação</v>
      </c>
      <c r="J164" t="str">
        <f>_xlfn.XLOOKUP(Tabela3[[#This Row],[ORDEM]],[1]ENCERRADAS!A:A,[1]ENCERRADAS!B:B,"")</f>
        <v>P</v>
      </c>
    </row>
    <row r="165" spans="1:10" x14ac:dyDescent="0.25">
      <c r="A165" t="str">
        <f>_xlfn.XLOOKUP(Tabela3[[#This Row],[ORDEM]],[1]BASE_PROGRAMAÇÃO!A:A,[1]BASE_PROGRAMAÇÃO!C:C,"")</f>
        <v>TRATORES</v>
      </c>
      <c r="B165">
        <f>_xlfn.XLOOKUP(Tabela3[[#This Row],[ORDEM]],[1]BASE_PROGRAMAÇÃO!A:A,[1]BASE_PROGRAMAÇÃO!B:B,"")</f>
        <v>13100019</v>
      </c>
      <c r="C165">
        <v>199478</v>
      </c>
      <c r="D165" t="str">
        <f>_xlfn.XLOOKUP(Tabela3[[#This Row],[Coluna3]],'[1]BASE DE PLANOS'!A:A,'[1]BASE DE PLANOS'!B:B,"")</f>
        <v>Coleta</v>
      </c>
      <c r="E165" s="2">
        <f>_xlfn.XLOOKUP(Tabela3[[#This Row],[ORDEM]],[1]BASE_PROGRAMAÇÃO!A:A,[1]BASE_PROGRAMAÇÃO!D:D,"")</f>
        <v>46116</v>
      </c>
      <c r="F165" s="2" t="str">
        <f>_xlfn.XLOOKUP(Tabela3[[#This Row],[ORDEM]],[1]BASE_PROGRAMAÇÃO!A:A,[1]BASE_PROGRAMAÇÃO!O:O,"")</f>
        <v>CAMPO</v>
      </c>
      <c r="G165" s="2" t="str">
        <f>_xlfn.XLOOKUP(Tabela3[[#This Row],[ORDEM]],[1]BASE_PROGRAMAÇÃO!A:A,[1]BASE_PROGRAMAÇÃO!L:L,"")</f>
        <v>COLHEITA</v>
      </c>
      <c r="H165" t="str">
        <f>_xlfn.XLOOKUP(Tabela3[[#This Row],[ORDEM]],[2]S_POST!$C:$C,[2]S_POST!$AG:$AG,"")</f>
        <v xml:space="preserve"> 100000250</v>
      </c>
      <c r="I165" t="str">
        <f>_xlfn.XLOOKUP(Tabela3[[#This Row],[ORDEM]],[1]BASE_PROGRAMAÇÃO!A:A,[1]BASE_PROGRAMAÇÃO!$E:$E,"")</f>
        <v>Lubrificação</v>
      </c>
      <c r="J165" t="str">
        <f>_xlfn.XLOOKUP(Tabela3[[#This Row],[ORDEM]],[1]ENCERRADAS!A:A,[1]ENCERRADAS!B:B,"")</f>
        <v>P</v>
      </c>
    </row>
    <row r="166" spans="1:10" x14ac:dyDescent="0.25">
      <c r="A166" t="str">
        <f>_xlfn.XLOOKUP(Tabela3[[#This Row],[ORDEM]],[1]BASE_PROGRAMAÇÃO!A:A,[1]BASE_PROGRAMAÇÃO!C:C,"")</f>
        <v>CAMINHOES</v>
      </c>
      <c r="B166">
        <f>_xlfn.XLOOKUP(Tabela3[[#This Row],[ORDEM]],[1]BASE_PROGRAMAÇÃO!A:A,[1]BASE_PROGRAMAÇÃO!B:B,"")</f>
        <v>11060096</v>
      </c>
      <c r="C166">
        <v>199477</v>
      </c>
      <c r="D166" t="str">
        <f>_xlfn.XLOOKUP(Tabela3[[#This Row],[Coluna3]],'[1]BASE DE PLANOS'!A:A,'[1]BASE DE PLANOS'!B:B,"")</f>
        <v>Lubrificação</v>
      </c>
      <c r="E166" s="2">
        <f>_xlfn.XLOOKUP(Tabela3[[#This Row],[ORDEM]],[1]BASE_PROGRAMAÇÃO!A:A,[1]BASE_PROGRAMAÇÃO!D:D,"")</f>
        <v>46116</v>
      </c>
      <c r="F166" s="2" t="str">
        <f>_xlfn.XLOOKUP(Tabela3[[#This Row],[ORDEM]],[1]BASE_PROGRAMAÇÃO!A:A,[1]BASE_PROGRAMAÇÃO!O:O,"")</f>
        <v>INTERNA</v>
      </c>
      <c r="G166" s="2" t="str">
        <f>_xlfn.XLOOKUP(Tabela3[[#This Row],[ORDEM]],[1]BASE_PROGRAMAÇÃO!A:A,[1]BASE_PROGRAMAÇÃO!L:L,"")</f>
        <v>COLHEITA</v>
      </c>
      <c r="H166" t="str">
        <f>_xlfn.XLOOKUP(Tabela3[[#This Row],[ORDEM]],[2]S_POST!$C:$C,[2]S_POST!$AG:$AG,"")</f>
        <v xml:space="preserve"> 110020000/100010000</v>
      </c>
      <c r="I166" t="str">
        <f>_xlfn.XLOOKUP(Tabela3[[#This Row],[ORDEM]],[1]BASE_PROGRAMAÇÃO!A:A,[1]BASE_PROGRAMAÇÃO!$E:$E,"")</f>
        <v>Lubrificação</v>
      </c>
      <c r="J166" t="str">
        <f>_xlfn.XLOOKUP(Tabela3[[#This Row],[ORDEM]],[1]ENCERRADAS!A:A,[1]ENCERRADAS!B:B,"")</f>
        <v>P</v>
      </c>
    </row>
    <row r="167" spans="1:10" x14ac:dyDescent="0.25">
      <c r="A167" t="str">
        <f>_xlfn.XLOOKUP(Tabela3[[#This Row],[ORDEM]],[1]BASE_PROGRAMAÇÃO!A:A,[1]BASE_PROGRAMAÇÃO!C:C,"")</f>
        <v>TRATORES</v>
      </c>
      <c r="B167">
        <f>_xlfn.XLOOKUP(Tabela3[[#This Row],[ORDEM]],[1]BASE_PROGRAMAÇÃO!A:A,[1]BASE_PROGRAMAÇÃO!B:B,"")</f>
        <v>13100277</v>
      </c>
      <c r="C167">
        <v>199476</v>
      </c>
      <c r="D167" t="str">
        <f>_xlfn.XLOOKUP(Tabela3[[#This Row],[Coluna3]],'[1]BASE DE PLANOS'!A:A,'[1]BASE DE PLANOS'!B:B,"")</f>
        <v>Coleta</v>
      </c>
      <c r="E167" s="2">
        <f>_xlfn.XLOOKUP(Tabela3[[#This Row],[ORDEM]],[1]BASE_PROGRAMAÇÃO!A:A,[1]BASE_PROGRAMAÇÃO!D:D,"")</f>
        <v>46116</v>
      </c>
      <c r="F167" s="2" t="str">
        <f>_xlfn.XLOOKUP(Tabela3[[#This Row],[ORDEM]],[1]BASE_PROGRAMAÇÃO!A:A,[1]BASE_PROGRAMAÇÃO!O:O,"")</f>
        <v>CAMPO</v>
      </c>
      <c r="G167" s="2" t="str">
        <f>_xlfn.XLOOKUP(Tabela3[[#This Row],[ORDEM]],[1]BASE_PROGRAMAÇÃO!A:A,[1]BASE_PROGRAMAÇÃO!L:L,"")</f>
        <v>TRATOS CULTURAIS</v>
      </c>
      <c r="H167" t="str">
        <f>_xlfn.XLOOKUP(Tabela3[[#This Row],[ORDEM]],[2]S_POST!$C:$C,[2]S_POST!$AG:$AG,"")</f>
        <v xml:space="preserve"> 100000250</v>
      </c>
      <c r="I167" t="str">
        <f>_xlfn.XLOOKUP(Tabela3[[#This Row],[ORDEM]],[1]BASE_PROGRAMAÇÃO!A:A,[1]BASE_PROGRAMAÇÃO!$E:$E,"")</f>
        <v>Lubrificação</v>
      </c>
      <c r="J167" t="str">
        <f>_xlfn.XLOOKUP(Tabela3[[#This Row],[ORDEM]],[1]ENCERRADAS!A:A,[1]ENCERRADAS!B:B,"")</f>
        <v>P</v>
      </c>
    </row>
    <row r="168" spans="1:10" x14ac:dyDescent="0.25">
      <c r="A168" t="str">
        <f>_xlfn.XLOOKUP(Tabela3[[#This Row],[ORDEM]],[1]BASE_PROGRAMAÇÃO!A:A,[1]BASE_PROGRAMAÇÃO!C:C,"")</f>
        <v>CAMINHOES</v>
      </c>
      <c r="B168">
        <f>_xlfn.XLOOKUP(Tabela3[[#This Row],[ORDEM]],[1]BASE_PROGRAMAÇÃO!A:A,[1]BASE_PROGRAMAÇÃO!B:B,"")</f>
        <v>11110006</v>
      </c>
      <c r="C168">
        <v>199475</v>
      </c>
      <c r="D168" t="str">
        <f>_xlfn.XLOOKUP(Tabela3[[#This Row],[Coluna3]],'[1]BASE DE PLANOS'!A:A,'[1]BASE DE PLANOS'!B:B,"")</f>
        <v>Lubrificação</v>
      </c>
      <c r="E168" s="2">
        <f>_xlfn.XLOOKUP(Tabela3[[#This Row],[ORDEM]],[1]BASE_PROGRAMAÇÃO!A:A,[1]BASE_PROGRAMAÇÃO!D:D,"")</f>
        <v>46116</v>
      </c>
      <c r="F168" s="2" t="str">
        <f>_xlfn.XLOOKUP(Tabela3[[#This Row],[ORDEM]],[1]BASE_PROGRAMAÇÃO!A:A,[1]BASE_PROGRAMAÇÃO!O:O,"")</f>
        <v>INTERNA</v>
      </c>
      <c r="G168" s="2" t="str">
        <f>_xlfn.XLOOKUP(Tabela3[[#This Row],[ORDEM]],[1]BASE_PROGRAMAÇÃO!A:A,[1]BASE_PROGRAMAÇÃO!L:L,"")</f>
        <v>AUTOMOTIVA</v>
      </c>
      <c r="H168" t="str">
        <f>_xlfn.XLOOKUP(Tabela3[[#This Row],[ORDEM]],[2]S_POST!$C:$C,[2]S_POST!$AG:$AG,"")</f>
        <v xml:space="preserve"> 110040000/110020000/100010000</v>
      </c>
      <c r="I168" t="str">
        <f>_xlfn.XLOOKUP(Tabela3[[#This Row],[ORDEM]],[1]BASE_PROGRAMAÇÃO!A:A,[1]BASE_PROGRAMAÇÃO!$E:$E,"")</f>
        <v>Lubrificação</v>
      </c>
      <c r="J168" t="str">
        <f>_xlfn.XLOOKUP(Tabela3[[#This Row],[ORDEM]],[1]ENCERRADAS!A:A,[1]ENCERRADAS!B:B,"")</f>
        <v>P</v>
      </c>
    </row>
    <row r="169" spans="1:10" x14ac:dyDescent="0.25">
      <c r="A169" t="str">
        <f>_xlfn.XLOOKUP(Tabela3[[#This Row],[ORDEM]],[1]BASE_PROGRAMAÇÃO!A:A,[1]BASE_PROGRAMAÇÃO!C:C,"")</f>
        <v>CAMINHOES</v>
      </c>
      <c r="B169">
        <f>_xlfn.XLOOKUP(Tabela3[[#This Row],[ORDEM]],[1]BASE_PROGRAMAÇÃO!A:A,[1]BASE_PROGRAMAÇÃO!B:B,"")</f>
        <v>11110003</v>
      </c>
      <c r="C169">
        <v>199474</v>
      </c>
      <c r="D169" t="str">
        <f>_xlfn.XLOOKUP(Tabela3[[#This Row],[Coluna3]],'[1]BASE DE PLANOS'!A:A,'[1]BASE DE PLANOS'!B:B,"")</f>
        <v>Lubrificação</v>
      </c>
      <c r="E169" s="2">
        <f>_xlfn.XLOOKUP(Tabela3[[#This Row],[ORDEM]],[1]BASE_PROGRAMAÇÃO!A:A,[1]BASE_PROGRAMAÇÃO!D:D,"")</f>
        <v>46116</v>
      </c>
      <c r="F169" s="2" t="str">
        <f>_xlfn.XLOOKUP(Tabela3[[#This Row],[ORDEM]],[1]BASE_PROGRAMAÇÃO!A:A,[1]BASE_PROGRAMAÇÃO!O:O,"")</f>
        <v>INTERNA</v>
      </c>
      <c r="G169" s="2" t="str">
        <f>_xlfn.XLOOKUP(Tabela3[[#This Row],[ORDEM]],[1]BASE_PROGRAMAÇÃO!A:A,[1]BASE_PROGRAMAÇÃO!L:L,"")</f>
        <v>AUTOMOTIVA</v>
      </c>
      <c r="H169" t="str">
        <f>_xlfn.XLOOKUP(Tabela3[[#This Row],[ORDEM]],[2]S_POST!$C:$C,[2]S_POST!$AG:$AG,"")</f>
        <v xml:space="preserve"> 110040000/110020000/100010000</v>
      </c>
      <c r="I169" t="str">
        <f>_xlfn.XLOOKUP(Tabela3[[#This Row],[ORDEM]],[1]BASE_PROGRAMAÇÃO!A:A,[1]BASE_PROGRAMAÇÃO!$E:$E,"")</f>
        <v>Lubrificação</v>
      </c>
      <c r="J169" t="str">
        <f>_xlfn.XLOOKUP(Tabela3[[#This Row],[ORDEM]],[1]ENCERRADAS!A:A,[1]ENCERRADAS!B:B,"")</f>
        <v>P</v>
      </c>
    </row>
    <row r="170" spans="1:10" x14ac:dyDescent="0.25">
      <c r="A170" t="str">
        <f>_xlfn.XLOOKUP(Tabela3[[#This Row],[ORDEM]],[1]BASE_PROGRAMAÇÃO!A:A,[1]BASE_PROGRAMAÇÃO!C:C,"")</f>
        <v>TRATORES</v>
      </c>
      <c r="B170">
        <f>_xlfn.XLOOKUP(Tabela3[[#This Row],[ORDEM]],[1]BASE_PROGRAMAÇÃO!A:A,[1]BASE_PROGRAMAÇÃO!B:B,"")</f>
        <v>13100026</v>
      </c>
      <c r="C170">
        <v>199472</v>
      </c>
      <c r="D170" t="str">
        <f>_xlfn.XLOOKUP(Tabela3[[#This Row],[Coluna3]],'[1]BASE DE PLANOS'!A:A,'[1]BASE DE PLANOS'!B:B,"")</f>
        <v>Lubrificação</v>
      </c>
      <c r="E170" s="2">
        <f>_xlfn.XLOOKUP(Tabela3[[#This Row],[ORDEM]],[1]BASE_PROGRAMAÇÃO!A:A,[1]BASE_PROGRAMAÇÃO!D:D,"")</f>
        <v>46115</v>
      </c>
      <c r="F170" s="2" t="str">
        <f>_xlfn.XLOOKUP(Tabela3[[#This Row],[ORDEM]],[1]BASE_PROGRAMAÇÃO!A:A,[1]BASE_PROGRAMAÇÃO!O:O,"")</f>
        <v>CAMPO</v>
      </c>
      <c r="G170" s="2" t="str">
        <f>_xlfn.XLOOKUP(Tabela3[[#This Row],[ORDEM]],[1]BASE_PROGRAMAÇÃO!A:A,[1]BASE_PROGRAMAÇÃO!L:L,"")</f>
        <v>PREPARO</v>
      </c>
      <c r="H170" t="str">
        <f>_xlfn.XLOOKUP(Tabela3[[#This Row],[ORDEM]],[2]S_POST!$C:$C,[2]S_POST!$AG:$AG,"")</f>
        <v xml:space="preserve"> 110001500/110000500/100000250</v>
      </c>
      <c r="I170" t="str">
        <f>_xlfn.XLOOKUP(Tabela3[[#This Row],[ORDEM]],[1]BASE_PROGRAMAÇÃO!A:A,[1]BASE_PROGRAMAÇÃO!$E:$E,"")</f>
        <v>Lubrificação</v>
      </c>
      <c r="J170" t="str">
        <f>_xlfn.XLOOKUP(Tabela3[[#This Row],[ORDEM]],[1]ENCERRADAS!A:A,[1]ENCERRADAS!B:B,"")</f>
        <v>P</v>
      </c>
    </row>
    <row r="171" spans="1:10" x14ac:dyDescent="0.25">
      <c r="A171" t="str">
        <f>_xlfn.XLOOKUP(Tabela3[[#This Row],[ORDEM]],[1]BASE_PROGRAMAÇÃO!A:A,[1]BASE_PROGRAMAÇÃO!C:C,"")</f>
        <v>CAMINHOES</v>
      </c>
      <c r="B171">
        <f>_xlfn.XLOOKUP(Tabela3[[#This Row],[ORDEM]],[1]BASE_PROGRAMAÇÃO!A:A,[1]BASE_PROGRAMAÇÃO!B:B,"")</f>
        <v>11060093</v>
      </c>
      <c r="C171">
        <v>199471</v>
      </c>
      <c r="D171" t="str">
        <f>_xlfn.XLOOKUP(Tabela3[[#This Row],[Coluna3]],'[1]BASE DE PLANOS'!A:A,'[1]BASE DE PLANOS'!B:B,"")</f>
        <v>Lubrificação</v>
      </c>
      <c r="E171" s="2">
        <f>_xlfn.XLOOKUP(Tabela3[[#This Row],[ORDEM]],[1]BASE_PROGRAMAÇÃO!A:A,[1]BASE_PROGRAMAÇÃO!D:D,"")</f>
        <v>46115</v>
      </c>
      <c r="F171" s="2" t="str">
        <f>_xlfn.XLOOKUP(Tabela3[[#This Row],[ORDEM]],[1]BASE_PROGRAMAÇÃO!A:A,[1]BASE_PROGRAMAÇÃO!O:O,"")</f>
        <v>INTERNA</v>
      </c>
      <c r="G171" s="2" t="str">
        <f>_xlfn.XLOOKUP(Tabela3[[#This Row],[ORDEM]],[1]BASE_PROGRAMAÇÃO!A:A,[1]BASE_PROGRAMAÇÃO!L:L,"")</f>
        <v>COLHEITA</v>
      </c>
      <c r="H171" t="str">
        <f>_xlfn.XLOOKUP(Tabela3[[#This Row],[ORDEM]],[2]S_POST!$C:$C,[2]S_POST!$AG:$AG,"")</f>
        <v xml:space="preserve"> 110020000/100010000</v>
      </c>
      <c r="I171" t="str">
        <f>_xlfn.XLOOKUP(Tabela3[[#This Row],[ORDEM]],[1]BASE_PROGRAMAÇÃO!A:A,[1]BASE_PROGRAMAÇÃO!$E:$E,"")</f>
        <v>Lubrificação</v>
      </c>
      <c r="J171" t="str">
        <f>_xlfn.XLOOKUP(Tabela3[[#This Row],[ORDEM]],[1]ENCERRADAS!A:A,[1]ENCERRADAS!B:B,"")</f>
        <v>P</v>
      </c>
    </row>
    <row r="172" spans="1:10" x14ac:dyDescent="0.25">
      <c r="A172" t="str">
        <f>_xlfn.XLOOKUP(Tabela3[[#This Row],[ORDEM]],[1]BASE_PROGRAMAÇÃO!A:A,[1]BASE_PROGRAMAÇÃO!C:C,"")</f>
        <v>CAMINHOES</v>
      </c>
      <c r="B172">
        <f>_xlfn.XLOOKUP(Tabela3[[#This Row],[ORDEM]],[1]BASE_PROGRAMAÇÃO!A:A,[1]BASE_PROGRAMAÇÃO!B:B,"")</f>
        <v>11120011</v>
      </c>
      <c r="C172">
        <v>199470</v>
      </c>
      <c r="D172" t="str">
        <f>_xlfn.XLOOKUP(Tabela3[[#This Row],[Coluna3]],'[1]BASE DE PLANOS'!A:A,'[1]BASE DE PLANOS'!B:B,"")</f>
        <v>Coleta</v>
      </c>
      <c r="E172" s="2">
        <f>_xlfn.XLOOKUP(Tabela3[[#This Row],[ORDEM]],[1]BASE_PROGRAMAÇÃO!A:A,[1]BASE_PROGRAMAÇÃO!D:D,"")</f>
        <v>46115</v>
      </c>
      <c r="F172" s="2" t="str">
        <f>_xlfn.XLOOKUP(Tabela3[[#This Row],[ORDEM]],[1]BASE_PROGRAMAÇÃO!A:A,[1]BASE_PROGRAMAÇÃO!O:O,"")</f>
        <v>INTERNA</v>
      </c>
      <c r="G172" s="2" t="str">
        <f>_xlfn.XLOOKUP(Tabela3[[#This Row],[ORDEM]],[1]BASE_PROGRAMAÇÃO!A:A,[1]BASE_PROGRAMAÇÃO!L:L,"")</f>
        <v>APOIO</v>
      </c>
      <c r="H172" t="str">
        <f>_xlfn.XLOOKUP(Tabela3[[#This Row],[ORDEM]],[2]S_POST!$C:$C,[2]S_POST!$AG:$AG,"")</f>
        <v xml:space="preserve"> 100010000</v>
      </c>
      <c r="I172" t="str">
        <f>_xlfn.XLOOKUP(Tabela3[[#This Row],[ORDEM]],[1]BASE_PROGRAMAÇÃO!A:A,[1]BASE_PROGRAMAÇÃO!$E:$E,"")</f>
        <v>Lubrificação</v>
      </c>
      <c r="J172" t="str">
        <f>_xlfn.XLOOKUP(Tabela3[[#This Row],[ORDEM]],[1]ENCERRADAS!A:A,[1]ENCERRADAS!B:B,"")</f>
        <v>P</v>
      </c>
    </row>
    <row r="173" spans="1:10" x14ac:dyDescent="0.25">
      <c r="A173" t="str">
        <f>_xlfn.XLOOKUP(Tabela3[[#This Row],[ORDEM]],[1]BASE_PROGRAMAÇÃO!A:A,[1]BASE_PROGRAMAÇÃO!C:C,"")</f>
        <v>TRATORES</v>
      </c>
      <c r="B173">
        <f>_xlfn.XLOOKUP(Tabela3[[#This Row],[ORDEM]],[1]BASE_PROGRAMAÇÃO!A:A,[1]BASE_PROGRAMAÇÃO!B:B,"")</f>
        <v>13090324</v>
      </c>
      <c r="C173">
        <v>199469</v>
      </c>
      <c r="D173" t="str">
        <f>_xlfn.XLOOKUP(Tabela3[[#This Row],[Coluna3]],'[1]BASE DE PLANOS'!A:A,'[1]BASE DE PLANOS'!B:B,"")</f>
        <v>Coleta</v>
      </c>
      <c r="E173" s="2">
        <f>_xlfn.XLOOKUP(Tabela3[[#This Row],[ORDEM]],[1]BASE_PROGRAMAÇÃO!A:A,[1]BASE_PROGRAMAÇÃO!D:D,"")</f>
        <v>46115</v>
      </c>
      <c r="F173" s="2" t="str">
        <f>_xlfn.XLOOKUP(Tabela3[[#This Row],[ORDEM]],[1]BASE_PROGRAMAÇÃO!A:A,[1]BASE_PROGRAMAÇÃO!O:O,"")</f>
        <v>CAMPO</v>
      </c>
      <c r="G173" s="2" t="str">
        <f>_xlfn.XLOOKUP(Tabela3[[#This Row],[ORDEM]],[1]BASE_PROGRAMAÇÃO!A:A,[1]BASE_PROGRAMAÇÃO!L:L,"")</f>
        <v>COLHEITA</v>
      </c>
      <c r="H173" t="str">
        <f>_xlfn.XLOOKUP(Tabela3[[#This Row],[ORDEM]],[2]S_POST!$C:$C,[2]S_POST!$AG:$AG,"")</f>
        <v xml:space="preserve"> 100000250</v>
      </c>
      <c r="I173" t="str">
        <f>_xlfn.XLOOKUP(Tabela3[[#This Row],[ORDEM]],[1]BASE_PROGRAMAÇÃO!A:A,[1]BASE_PROGRAMAÇÃO!$E:$E,"")</f>
        <v>Lubrificação</v>
      </c>
      <c r="J173" t="str">
        <f>_xlfn.XLOOKUP(Tabela3[[#This Row],[ORDEM]],[1]ENCERRADAS!A:A,[1]ENCERRADAS!B:B,"")</f>
        <v>P</v>
      </c>
    </row>
    <row r="174" spans="1:10" x14ac:dyDescent="0.25">
      <c r="A174" t="str">
        <f>_xlfn.XLOOKUP(Tabela3[[#This Row],[ORDEM]],[1]BASE_PROGRAMAÇÃO!A:A,[1]BASE_PROGRAMAÇÃO!C:C,"")</f>
        <v>CAMINHOES</v>
      </c>
      <c r="B174">
        <f>_xlfn.XLOOKUP(Tabela3[[#This Row],[ORDEM]],[1]BASE_PROGRAMAÇÃO!A:A,[1]BASE_PROGRAMAÇÃO!B:B,"")</f>
        <v>11060061</v>
      </c>
      <c r="C174">
        <v>199467</v>
      </c>
      <c r="D174" t="str">
        <f>_xlfn.XLOOKUP(Tabela3[[#This Row],[Coluna3]],'[1]BASE DE PLANOS'!A:A,'[1]BASE DE PLANOS'!B:B,"")</f>
        <v>Coleta</v>
      </c>
      <c r="E174" s="2">
        <f>_xlfn.XLOOKUP(Tabela3[[#This Row],[ORDEM]],[1]BASE_PROGRAMAÇÃO!A:A,[1]BASE_PROGRAMAÇÃO!D:D,"")</f>
        <v>46114</v>
      </c>
      <c r="F174" s="2" t="str">
        <f>_xlfn.XLOOKUP(Tabela3[[#This Row],[ORDEM]],[1]BASE_PROGRAMAÇÃO!A:A,[1]BASE_PROGRAMAÇÃO!O:O,"")</f>
        <v>INTERNA</v>
      </c>
      <c r="G174" s="2" t="str">
        <f>_xlfn.XLOOKUP(Tabela3[[#This Row],[ORDEM]],[1]BASE_PROGRAMAÇÃO!A:A,[1]BASE_PROGRAMAÇÃO!L:L,"")</f>
        <v>COLHEITA</v>
      </c>
      <c r="H174" t="str">
        <f>_xlfn.XLOOKUP(Tabela3[[#This Row],[ORDEM]],[2]S_POST!$C:$C,[2]S_POST!$AG:$AG,"")</f>
        <v xml:space="preserve"> 100010000</v>
      </c>
      <c r="I174" t="str">
        <f>_xlfn.XLOOKUP(Tabela3[[#This Row],[ORDEM]],[1]BASE_PROGRAMAÇÃO!A:A,[1]BASE_PROGRAMAÇÃO!$E:$E,"")</f>
        <v>Lubrificação</v>
      </c>
      <c r="J174" t="str">
        <f>_xlfn.XLOOKUP(Tabela3[[#This Row],[ORDEM]],[1]ENCERRADAS!A:A,[1]ENCERRADAS!B:B,"")</f>
        <v>P</v>
      </c>
    </row>
    <row r="175" spans="1:10" x14ac:dyDescent="0.25">
      <c r="A175" t="str">
        <f>_xlfn.XLOOKUP(Tabela3[[#This Row],[ORDEM]],[1]BASE_PROGRAMAÇÃO!A:A,[1]BASE_PROGRAMAÇÃO!C:C,"")</f>
        <v>TRATORES</v>
      </c>
      <c r="B175">
        <f>_xlfn.XLOOKUP(Tabela3[[#This Row],[ORDEM]],[1]BASE_PROGRAMAÇÃO!A:A,[1]BASE_PROGRAMAÇÃO!B:B,"")</f>
        <v>13100002</v>
      </c>
      <c r="C175">
        <v>199466</v>
      </c>
      <c r="D175" t="str">
        <f>_xlfn.XLOOKUP(Tabela3[[#This Row],[Coluna3]],'[1]BASE DE PLANOS'!A:A,'[1]BASE DE PLANOS'!B:B,"")</f>
        <v>Lubrificação</v>
      </c>
      <c r="E175" s="2">
        <f>_xlfn.XLOOKUP(Tabela3[[#This Row],[ORDEM]],[1]BASE_PROGRAMAÇÃO!A:A,[1]BASE_PROGRAMAÇÃO!D:D,"")</f>
        <v>46114</v>
      </c>
      <c r="F175" s="2" t="str">
        <f>_xlfn.XLOOKUP(Tabela3[[#This Row],[ORDEM]],[1]BASE_PROGRAMAÇÃO!A:A,[1]BASE_PROGRAMAÇÃO!O:O,"")</f>
        <v>CAMPO</v>
      </c>
      <c r="G175" s="2" t="str">
        <f>_xlfn.XLOOKUP(Tabela3[[#This Row],[ORDEM]],[1]BASE_PROGRAMAÇÃO!A:A,[1]BASE_PROGRAMAÇÃO!L:L,"")</f>
        <v>TRATOS CULTURAIS</v>
      </c>
      <c r="H175" t="str">
        <f>_xlfn.XLOOKUP(Tabela3[[#This Row],[ORDEM]],[2]S_POST!$C:$C,[2]S_POST!$AG:$AG,"")</f>
        <v xml:space="preserve"> 110000500/100000250</v>
      </c>
      <c r="I175" t="str">
        <f>_xlfn.XLOOKUP(Tabela3[[#This Row],[ORDEM]],[1]BASE_PROGRAMAÇÃO!A:A,[1]BASE_PROGRAMAÇÃO!$E:$E,"")</f>
        <v>Lubrificação</v>
      </c>
      <c r="J175" t="str">
        <f>_xlfn.XLOOKUP(Tabela3[[#This Row],[ORDEM]],[1]ENCERRADAS!A:A,[1]ENCERRADAS!B:B,"")</f>
        <v>P</v>
      </c>
    </row>
    <row r="176" spans="1:10" x14ac:dyDescent="0.25">
      <c r="A176" t="str">
        <f>_xlfn.XLOOKUP(Tabela3[[#This Row],[ORDEM]],[1]BASE_PROGRAMAÇÃO!A:A,[1]BASE_PROGRAMAÇÃO!C:C,"")</f>
        <v>CAMINHOES</v>
      </c>
      <c r="B176">
        <f>_xlfn.XLOOKUP(Tabela3[[#This Row],[ORDEM]],[1]BASE_PROGRAMAÇÃO!A:A,[1]BASE_PROGRAMAÇÃO!B:B,"")</f>
        <v>11140151</v>
      </c>
      <c r="C176">
        <v>199465</v>
      </c>
      <c r="D176" t="str">
        <f>_xlfn.XLOOKUP(Tabela3[[#This Row],[Coluna3]],'[1]BASE DE PLANOS'!A:A,'[1]BASE DE PLANOS'!B:B,"")</f>
        <v>Lubrificação</v>
      </c>
      <c r="E176" s="2">
        <f>_xlfn.XLOOKUP(Tabela3[[#This Row],[ORDEM]],[1]BASE_PROGRAMAÇÃO!A:A,[1]BASE_PROGRAMAÇÃO!D:D,"")</f>
        <v>46114</v>
      </c>
      <c r="F176" s="2" t="str">
        <f>_xlfn.XLOOKUP(Tabela3[[#This Row],[ORDEM]],[1]BASE_PROGRAMAÇÃO!A:A,[1]BASE_PROGRAMAÇÃO!O:O,"")</f>
        <v>INTERNA</v>
      </c>
      <c r="G176" s="2" t="str">
        <f>_xlfn.XLOOKUP(Tabela3[[#This Row],[ORDEM]],[1]BASE_PROGRAMAÇÃO!A:A,[1]BASE_PROGRAMAÇÃO!L:L,"")</f>
        <v>PLANTIO</v>
      </c>
      <c r="H176" t="str">
        <f>_xlfn.XLOOKUP(Tabela3[[#This Row],[ORDEM]],[2]S_POST!$C:$C,[2]S_POST!$AG:$AG,"")</f>
        <v xml:space="preserve"> 110020000/100010000</v>
      </c>
      <c r="I176" t="str">
        <f>_xlfn.XLOOKUP(Tabela3[[#This Row],[ORDEM]],[1]BASE_PROGRAMAÇÃO!A:A,[1]BASE_PROGRAMAÇÃO!$E:$E,"")</f>
        <v>Lubrificação</v>
      </c>
      <c r="J176" t="str">
        <f>_xlfn.XLOOKUP(Tabela3[[#This Row],[ORDEM]],[1]ENCERRADAS!A:A,[1]ENCERRADAS!B:B,"")</f>
        <v>P</v>
      </c>
    </row>
    <row r="177" spans="1:10" x14ac:dyDescent="0.25">
      <c r="A177" t="str">
        <f>_xlfn.XLOOKUP(Tabela3[[#This Row],[ORDEM]],[1]BASE_PROGRAMAÇÃO!A:A,[1]BASE_PROGRAMAÇÃO!C:C,"")</f>
        <v>TRATORES</v>
      </c>
      <c r="B177">
        <f>_xlfn.XLOOKUP(Tabela3[[#This Row],[ORDEM]],[1]BASE_PROGRAMAÇÃO!A:A,[1]BASE_PROGRAMAÇÃO!B:B,"")</f>
        <v>13100016</v>
      </c>
      <c r="C177">
        <v>199464</v>
      </c>
      <c r="D177" t="str">
        <f>_xlfn.XLOOKUP(Tabela3[[#This Row],[Coluna3]],'[1]BASE DE PLANOS'!A:A,'[1]BASE DE PLANOS'!B:B,"")</f>
        <v>Coleta</v>
      </c>
      <c r="E177" s="2">
        <f>_xlfn.XLOOKUP(Tabela3[[#This Row],[ORDEM]],[1]BASE_PROGRAMAÇÃO!A:A,[1]BASE_PROGRAMAÇÃO!D:D,"")</f>
        <v>46113</v>
      </c>
      <c r="F177" s="2" t="str">
        <f>_xlfn.XLOOKUP(Tabela3[[#This Row],[ORDEM]],[1]BASE_PROGRAMAÇÃO!A:A,[1]BASE_PROGRAMAÇÃO!O:O,"")</f>
        <v>CAMPO</v>
      </c>
      <c r="G177" s="2" t="str">
        <f>_xlfn.XLOOKUP(Tabela3[[#This Row],[ORDEM]],[1]BASE_PROGRAMAÇÃO!A:A,[1]BASE_PROGRAMAÇÃO!L:L,"")</f>
        <v>COLHEITA</v>
      </c>
      <c r="H177" t="str">
        <f>_xlfn.XLOOKUP(Tabela3[[#This Row],[ORDEM]],[2]S_POST!$C:$C,[2]S_POST!$AG:$AG,"")</f>
        <v xml:space="preserve"> 100000250</v>
      </c>
      <c r="I177" t="str">
        <f>_xlfn.XLOOKUP(Tabela3[[#This Row],[ORDEM]],[1]BASE_PROGRAMAÇÃO!A:A,[1]BASE_PROGRAMAÇÃO!$E:$E,"")</f>
        <v>Lubrificação</v>
      </c>
      <c r="J177" t="str">
        <f>_xlfn.XLOOKUP(Tabela3[[#This Row],[ORDEM]],[1]ENCERRADAS!A:A,[1]ENCERRADAS!B:B,"")</f>
        <v>P</v>
      </c>
    </row>
    <row r="178" spans="1:10" x14ac:dyDescent="0.25">
      <c r="A178" t="str">
        <f>_xlfn.XLOOKUP(Tabela3[[#This Row],[ORDEM]],[1]BASE_PROGRAMAÇÃO!A:A,[1]BASE_PROGRAMAÇÃO!C:C,"")</f>
        <v>TRATORES</v>
      </c>
      <c r="B178">
        <f>_xlfn.XLOOKUP(Tabela3[[#This Row],[ORDEM]],[1]BASE_PROGRAMAÇÃO!A:A,[1]BASE_PROGRAMAÇÃO!B:B,"")</f>
        <v>13090322</v>
      </c>
      <c r="C178">
        <v>199463</v>
      </c>
      <c r="D178" t="str">
        <f>_xlfn.XLOOKUP(Tabela3[[#This Row],[Coluna3]],'[1]BASE DE PLANOS'!A:A,'[1]BASE DE PLANOS'!B:B,"")</f>
        <v>Coleta</v>
      </c>
      <c r="E178" s="2">
        <f>_xlfn.XLOOKUP(Tabela3[[#This Row],[ORDEM]],[1]BASE_PROGRAMAÇÃO!A:A,[1]BASE_PROGRAMAÇÃO!D:D,"")</f>
        <v>46113</v>
      </c>
      <c r="F178" s="2" t="str">
        <f>_xlfn.XLOOKUP(Tabela3[[#This Row],[ORDEM]],[1]BASE_PROGRAMAÇÃO!A:A,[1]BASE_PROGRAMAÇÃO!O:O,"")</f>
        <v>CAMPO</v>
      </c>
      <c r="G178" s="2" t="str">
        <f>_xlfn.XLOOKUP(Tabela3[[#This Row],[ORDEM]],[1]BASE_PROGRAMAÇÃO!A:A,[1]BASE_PROGRAMAÇÃO!L:L,"")</f>
        <v>TRATOS CULTURAIS</v>
      </c>
      <c r="H178" t="str">
        <f>_xlfn.XLOOKUP(Tabela3[[#This Row],[ORDEM]],[2]S_POST!$C:$C,[2]S_POST!$AG:$AG,"")</f>
        <v xml:space="preserve"> 100000250</v>
      </c>
      <c r="I178" t="str">
        <f>_xlfn.XLOOKUP(Tabela3[[#This Row],[ORDEM]],[1]BASE_PROGRAMAÇÃO!A:A,[1]BASE_PROGRAMAÇÃO!$E:$E,"")</f>
        <v>Lubrificação</v>
      </c>
      <c r="J178" t="str">
        <f>_xlfn.XLOOKUP(Tabela3[[#This Row],[ORDEM]],[1]ENCERRADAS!A:A,[1]ENCERRADAS!B:B,"")</f>
        <v>P</v>
      </c>
    </row>
    <row r="179" spans="1:10" x14ac:dyDescent="0.25">
      <c r="A179" t="str">
        <f>_xlfn.XLOOKUP(Tabela3[[#This Row],[ORDEM]],[1]BASE_PROGRAMAÇÃO!A:A,[1]BASE_PROGRAMAÇÃO!C:C,"")</f>
        <v>TRATORES</v>
      </c>
      <c r="B179">
        <f>_xlfn.XLOOKUP(Tabela3[[#This Row],[ORDEM]],[1]BASE_PROGRAMAÇÃO!A:A,[1]BASE_PROGRAMAÇÃO!B:B,"")</f>
        <v>13100017</v>
      </c>
      <c r="C179">
        <v>199462</v>
      </c>
      <c r="D179" t="str">
        <f>_xlfn.XLOOKUP(Tabela3[[#This Row],[Coluna3]],'[1]BASE DE PLANOS'!A:A,'[1]BASE DE PLANOS'!B:B,"")</f>
        <v>Lubrificação</v>
      </c>
      <c r="E179" s="2">
        <f>_xlfn.XLOOKUP(Tabela3[[#This Row],[ORDEM]],[1]BASE_PROGRAMAÇÃO!A:A,[1]BASE_PROGRAMAÇÃO!D:D,"")</f>
        <v>46113</v>
      </c>
      <c r="F179" s="2" t="str">
        <f>_xlfn.XLOOKUP(Tabela3[[#This Row],[ORDEM]],[1]BASE_PROGRAMAÇÃO!A:A,[1]BASE_PROGRAMAÇÃO!O:O,"")</f>
        <v>CAMPO</v>
      </c>
      <c r="G179" s="2" t="str">
        <f>_xlfn.XLOOKUP(Tabela3[[#This Row],[ORDEM]],[1]BASE_PROGRAMAÇÃO!A:A,[1]BASE_PROGRAMAÇÃO!L:L,"")</f>
        <v>COLHEITA</v>
      </c>
      <c r="H179" t="str">
        <f>_xlfn.XLOOKUP(Tabela3[[#This Row],[ORDEM]],[2]S_POST!$C:$C,[2]S_POST!$AG:$AG,"")</f>
        <v xml:space="preserve"> 110000500/100000250</v>
      </c>
      <c r="I179" t="str">
        <f>_xlfn.XLOOKUP(Tabela3[[#This Row],[ORDEM]],[1]BASE_PROGRAMAÇÃO!A:A,[1]BASE_PROGRAMAÇÃO!$E:$E,"")</f>
        <v>Lubrificação</v>
      </c>
      <c r="J179" t="str">
        <f>_xlfn.XLOOKUP(Tabela3[[#This Row],[ORDEM]],[1]ENCERRADAS!A:A,[1]ENCERRADAS!B:B,"")</f>
        <v>P</v>
      </c>
    </row>
    <row r="180" spans="1:10" x14ac:dyDescent="0.25">
      <c r="A180" t="str">
        <f>_xlfn.XLOOKUP(Tabela3[[#This Row],[ORDEM]],[1]BASE_PROGRAMAÇÃO!A:A,[1]BASE_PROGRAMAÇÃO!C:C,"")</f>
        <v>CAMINHOES</v>
      </c>
      <c r="B180">
        <f>_xlfn.XLOOKUP(Tabela3[[#This Row],[ORDEM]],[1]BASE_PROGRAMAÇÃO!A:A,[1]BASE_PROGRAMAÇÃO!B:B,"")</f>
        <v>11110004</v>
      </c>
      <c r="C180">
        <v>199461</v>
      </c>
      <c r="D180" t="str">
        <f>_xlfn.XLOOKUP(Tabela3[[#This Row],[Coluna3]],'[1]BASE DE PLANOS'!A:A,'[1]BASE DE PLANOS'!B:B,"")</f>
        <v>Lubrificação</v>
      </c>
      <c r="E180" s="2">
        <f>_xlfn.XLOOKUP(Tabela3[[#This Row],[ORDEM]],[1]BASE_PROGRAMAÇÃO!A:A,[1]BASE_PROGRAMAÇÃO!D:D,"")</f>
        <v>46113</v>
      </c>
      <c r="F180" s="2" t="str">
        <f>_xlfn.XLOOKUP(Tabela3[[#This Row],[ORDEM]],[1]BASE_PROGRAMAÇÃO!A:A,[1]BASE_PROGRAMAÇÃO!O:O,"")</f>
        <v>INTERNA</v>
      </c>
      <c r="G180" s="2" t="str">
        <f>_xlfn.XLOOKUP(Tabela3[[#This Row],[ORDEM]],[1]BASE_PROGRAMAÇÃO!A:A,[1]BASE_PROGRAMAÇÃO!L:L,"")</f>
        <v>AUTOMOTIVA</v>
      </c>
      <c r="H180" t="str">
        <f>_xlfn.XLOOKUP(Tabela3[[#This Row],[ORDEM]],[2]S_POST!$C:$C,[2]S_POST!$AG:$AG,"")</f>
        <v xml:space="preserve"> 110060000/110040000/110020000/100010000</v>
      </c>
      <c r="I180" t="str">
        <f>_xlfn.XLOOKUP(Tabela3[[#This Row],[ORDEM]],[1]BASE_PROGRAMAÇÃO!A:A,[1]BASE_PROGRAMAÇÃO!$E:$E,"")</f>
        <v>Lubrificação</v>
      </c>
      <c r="J180" t="str">
        <f>_xlfn.XLOOKUP(Tabela3[[#This Row],[ORDEM]],[1]ENCERRADAS!A:A,[1]ENCERRADAS!B:B,"")</f>
        <v>P</v>
      </c>
    </row>
    <row r="181" spans="1:10" x14ac:dyDescent="0.25">
      <c r="A181" t="str">
        <f>_xlfn.XLOOKUP(Tabela3[[#This Row],[ORDEM]],[1]BASE_PROGRAMAÇÃO!A:A,[1]BASE_PROGRAMAÇÃO!C:C,"")</f>
        <v>QUADRICICLOS</v>
      </c>
      <c r="B181">
        <f>_xlfn.XLOOKUP(Tabela3[[#This Row],[ORDEM]],[1]BASE_PROGRAMAÇÃO!A:A,[1]BASE_PROGRAMAÇÃO!B:B,"")</f>
        <v>12040007</v>
      </c>
      <c r="C181">
        <v>199460</v>
      </c>
      <c r="D181" t="str">
        <f>_xlfn.XLOOKUP(Tabela3[[#This Row],[Coluna3]],'[1]BASE DE PLANOS'!A:A,'[1]BASE DE PLANOS'!B:B,"")</f>
        <v>Lubrificação</v>
      </c>
      <c r="E181" s="2">
        <f>_xlfn.XLOOKUP(Tabela3[[#This Row],[ORDEM]],[1]BASE_PROGRAMAÇÃO!A:A,[1]BASE_PROGRAMAÇÃO!D:D,"")</f>
        <v>46113</v>
      </c>
      <c r="F181" s="2" t="str">
        <f>_xlfn.XLOOKUP(Tabela3[[#This Row],[ORDEM]],[1]BASE_PROGRAMAÇÃO!A:A,[1]BASE_PROGRAMAÇÃO!O:O,"")</f>
        <v>INTERNA</v>
      </c>
      <c r="G181" s="2" t="str">
        <f>_xlfn.XLOOKUP(Tabela3[[#This Row],[ORDEM]],[1]BASE_PROGRAMAÇÃO!A:A,[1]BASE_PROGRAMAÇÃO!L:L,"")</f>
        <v>ADMINISTRATIVO</v>
      </c>
      <c r="H181" t="str">
        <f>_xlfn.XLOOKUP(Tabela3[[#This Row],[ORDEM]],[2]S_POST!$C:$C,[2]S_POST!$AG:$AG,"")</f>
        <v xml:space="preserve"> 110000100</v>
      </c>
      <c r="I181" t="str">
        <f>_xlfn.XLOOKUP(Tabela3[[#This Row],[ORDEM]],[1]BASE_PROGRAMAÇÃO!A:A,[1]BASE_PROGRAMAÇÃO!$E:$E,"")</f>
        <v>Lubrificação</v>
      </c>
      <c r="J181" t="str">
        <f>_xlfn.XLOOKUP(Tabela3[[#This Row],[ORDEM]],[1]ENCERRADAS!A:A,[1]ENCERRADAS!B:B,"")</f>
        <v>P</v>
      </c>
    </row>
    <row r="182" spans="1:10" x14ac:dyDescent="0.25">
      <c r="A182" t="str">
        <f>_xlfn.XLOOKUP(Tabela3[[#This Row],[ORDEM]],[1]BASE_PROGRAMAÇÃO!A:A,[1]BASE_PROGRAMAÇÃO!C:C,"")</f>
        <v>MOTO BOMBA</v>
      </c>
      <c r="B182">
        <f>_xlfn.XLOOKUP(Tabela3[[#This Row],[ORDEM]],[1]BASE_PROGRAMAÇÃO!A:A,[1]BASE_PROGRAMAÇÃO!B:B,"")</f>
        <v>14010062</v>
      </c>
      <c r="C182">
        <v>199458</v>
      </c>
      <c r="D182" t="str">
        <f>_xlfn.XLOOKUP(Tabela3[[#This Row],[Coluna3]],'[1]BASE DE PLANOS'!A:A,'[1]BASE DE PLANOS'!B:B,"")</f>
        <v>Lubrificação</v>
      </c>
      <c r="E182" s="2">
        <f>_xlfn.XLOOKUP(Tabela3[[#This Row],[ORDEM]],[1]BASE_PROGRAMAÇÃO!A:A,[1]BASE_PROGRAMAÇÃO!D:D,"")</f>
        <v>46112</v>
      </c>
      <c r="F182" s="2" t="str">
        <f>_xlfn.XLOOKUP(Tabela3[[#This Row],[ORDEM]],[1]BASE_PROGRAMAÇÃO!A:A,[1]BASE_PROGRAMAÇÃO!O:O,"")</f>
        <v>CAMPO</v>
      </c>
      <c r="G182" s="2" t="str">
        <f>_xlfn.XLOOKUP(Tabela3[[#This Row],[ORDEM]],[1]BASE_PROGRAMAÇÃO!A:A,[1]BASE_PROGRAMAÇÃO!L:L,"")</f>
        <v>INDÚSTRIA</v>
      </c>
      <c r="H182" t="str">
        <f>_xlfn.XLOOKUP(Tabela3[[#This Row],[ORDEM]],[2]S_POST!$C:$C,[2]S_POST!$AG:$AG,"")</f>
        <v xml:space="preserve"> 100000500</v>
      </c>
      <c r="I182" t="str">
        <f>_xlfn.XLOOKUP(Tabela3[[#This Row],[ORDEM]],[1]BASE_PROGRAMAÇÃO!A:A,[1]BASE_PROGRAMAÇÃO!$E:$E,"")</f>
        <v>Lubrificação</v>
      </c>
      <c r="J182" t="str">
        <f>_xlfn.XLOOKUP(Tabela3[[#This Row],[ORDEM]],[1]ENCERRADAS!A:A,[1]ENCERRADAS!B:B,"")</f>
        <v>P</v>
      </c>
    </row>
    <row r="183" spans="1:10" x14ac:dyDescent="0.25">
      <c r="A183" t="str">
        <f>_xlfn.XLOOKUP(Tabela3[[#This Row],[ORDEM]],[1]BASE_PROGRAMAÇÃO!A:A,[1]BASE_PROGRAMAÇÃO!C:C,"")</f>
        <v>MOTO BOMBA</v>
      </c>
      <c r="B183">
        <f>_xlfn.XLOOKUP(Tabela3[[#This Row],[ORDEM]],[1]BASE_PROGRAMAÇÃO!A:A,[1]BASE_PROGRAMAÇÃO!B:B,"")</f>
        <v>14010061</v>
      </c>
      <c r="C183">
        <v>199457</v>
      </c>
      <c r="D183" t="str">
        <f>_xlfn.XLOOKUP(Tabela3[[#This Row],[Coluna3]],'[1]BASE DE PLANOS'!A:A,'[1]BASE DE PLANOS'!B:B,"")</f>
        <v>Lubrificação</v>
      </c>
      <c r="E183" s="2">
        <f>_xlfn.XLOOKUP(Tabela3[[#This Row],[ORDEM]],[1]BASE_PROGRAMAÇÃO!A:A,[1]BASE_PROGRAMAÇÃO!D:D,"")</f>
        <v>46112</v>
      </c>
      <c r="F183" s="2" t="str">
        <f>_xlfn.XLOOKUP(Tabela3[[#This Row],[ORDEM]],[1]BASE_PROGRAMAÇÃO!A:A,[1]BASE_PROGRAMAÇÃO!O:O,"")</f>
        <v>CAMPO</v>
      </c>
      <c r="G183" s="2" t="str">
        <f>_xlfn.XLOOKUP(Tabela3[[#This Row],[ORDEM]],[1]BASE_PROGRAMAÇÃO!A:A,[1]BASE_PROGRAMAÇÃO!L:L,"")</f>
        <v>INDÚSTRIA</v>
      </c>
      <c r="H183" t="str">
        <f>_xlfn.XLOOKUP(Tabela3[[#This Row],[ORDEM]],[2]S_POST!$C:$C,[2]S_POST!$AG:$AG,"")</f>
        <v xml:space="preserve"> 100000500</v>
      </c>
      <c r="I183" t="str">
        <f>_xlfn.XLOOKUP(Tabela3[[#This Row],[ORDEM]],[1]BASE_PROGRAMAÇÃO!A:A,[1]BASE_PROGRAMAÇÃO!$E:$E,"")</f>
        <v>Lubrificação</v>
      </c>
      <c r="J183" t="str">
        <f>_xlfn.XLOOKUP(Tabela3[[#This Row],[ORDEM]],[1]ENCERRADAS!A:A,[1]ENCERRADAS!B:B,"")</f>
        <v>P</v>
      </c>
    </row>
    <row r="184" spans="1:10" x14ac:dyDescent="0.25">
      <c r="A184" t="str">
        <f>_xlfn.XLOOKUP(Tabela3[[#This Row],[ORDEM]],[1]BASE_PROGRAMAÇÃO!A:A,[1]BASE_PROGRAMAÇÃO!C:C,"")</f>
        <v>TRATORES</v>
      </c>
      <c r="B184">
        <f>_xlfn.XLOOKUP(Tabela3[[#This Row],[ORDEM]],[1]BASE_PROGRAMAÇÃO!A:A,[1]BASE_PROGRAMAÇÃO!B:B,"")</f>
        <v>13100005</v>
      </c>
      <c r="C184">
        <v>199456</v>
      </c>
      <c r="D184" t="str">
        <f>_xlfn.XLOOKUP(Tabela3[[#This Row],[Coluna3]],'[1]BASE DE PLANOS'!A:A,'[1]BASE DE PLANOS'!B:B,"")</f>
        <v>Coleta</v>
      </c>
      <c r="E184" s="2">
        <f>_xlfn.XLOOKUP(Tabela3[[#This Row],[ORDEM]],[1]BASE_PROGRAMAÇÃO!A:A,[1]BASE_PROGRAMAÇÃO!D:D,"")</f>
        <v>46112</v>
      </c>
      <c r="F184" s="2" t="str">
        <f>_xlfn.XLOOKUP(Tabela3[[#This Row],[ORDEM]],[1]BASE_PROGRAMAÇÃO!A:A,[1]BASE_PROGRAMAÇÃO!O:O,"")</f>
        <v>CAMPO</v>
      </c>
      <c r="G184" s="2" t="str">
        <f>_xlfn.XLOOKUP(Tabela3[[#This Row],[ORDEM]],[1]BASE_PROGRAMAÇÃO!A:A,[1]BASE_PROGRAMAÇÃO!L:L,"")</f>
        <v>INDÚSTRIA</v>
      </c>
      <c r="H184" t="str">
        <f>_xlfn.XLOOKUP(Tabela3[[#This Row],[ORDEM]],[2]S_POST!$C:$C,[2]S_POST!$AG:$AG,"")</f>
        <v xml:space="preserve"> 100000250</v>
      </c>
      <c r="I184" t="str">
        <f>_xlfn.XLOOKUP(Tabela3[[#This Row],[ORDEM]],[1]BASE_PROGRAMAÇÃO!A:A,[1]BASE_PROGRAMAÇÃO!$E:$E,"")</f>
        <v>Lubrificação</v>
      </c>
      <c r="J184" t="str">
        <f>_xlfn.XLOOKUP(Tabela3[[#This Row],[ORDEM]],[1]ENCERRADAS!A:A,[1]ENCERRADAS!B:B,"")</f>
        <v>P</v>
      </c>
    </row>
    <row r="185" spans="1:10" x14ac:dyDescent="0.25">
      <c r="A185" t="str">
        <f>_xlfn.XLOOKUP(Tabela3[[#This Row],[ORDEM]],[1]BASE_PROGRAMAÇÃO!A:A,[1]BASE_PROGRAMAÇÃO!C:C,"")</f>
        <v>TRATORES</v>
      </c>
      <c r="B185">
        <f>_xlfn.XLOOKUP(Tabela3[[#This Row],[ORDEM]],[1]BASE_PROGRAMAÇÃO!A:A,[1]BASE_PROGRAMAÇÃO!B:B,"")</f>
        <v>13100012</v>
      </c>
      <c r="C185">
        <v>199455</v>
      </c>
      <c r="D185" t="str">
        <f>_xlfn.XLOOKUP(Tabela3[[#This Row],[Coluna3]],'[1]BASE DE PLANOS'!A:A,'[1]BASE DE PLANOS'!B:B,"")</f>
        <v>Lubrificação</v>
      </c>
      <c r="E185" s="2">
        <f>_xlfn.XLOOKUP(Tabela3[[#This Row],[ORDEM]],[1]BASE_PROGRAMAÇÃO!A:A,[1]BASE_PROGRAMAÇÃO!D:D,"")</f>
        <v>46112</v>
      </c>
      <c r="F185" s="2" t="str">
        <f>_xlfn.XLOOKUP(Tabela3[[#This Row],[ORDEM]],[1]BASE_PROGRAMAÇÃO!A:A,[1]BASE_PROGRAMAÇÃO!O:O,"")</f>
        <v>CAMPO</v>
      </c>
      <c r="G185" s="2" t="str">
        <f>_xlfn.XLOOKUP(Tabela3[[#This Row],[ORDEM]],[1]BASE_PROGRAMAÇÃO!A:A,[1]BASE_PROGRAMAÇÃO!L:L,"")</f>
        <v>PREPARO</v>
      </c>
      <c r="H185" t="str">
        <f>_xlfn.XLOOKUP(Tabela3[[#This Row],[ORDEM]],[2]S_POST!$C:$C,[2]S_POST!$AG:$AG,"")</f>
        <v xml:space="preserve"> 110001500/110000500/100000250</v>
      </c>
      <c r="I185" t="str">
        <f>_xlfn.XLOOKUP(Tabela3[[#This Row],[ORDEM]],[1]BASE_PROGRAMAÇÃO!A:A,[1]BASE_PROGRAMAÇÃO!$E:$E,"")</f>
        <v>Lubrificação</v>
      </c>
      <c r="J185" t="str">
        <f>_xlfn.XLOOKUP(Tabela3[[#This Row],[ORDEM]],[1]ENCERRADAS!A:A,[1]ENCERRADAS!B:B,"")</f>
        <v>P</v>
      </c>
    </row>
    <row r="186" spans="1:10" x14ac:dyDescent="0.25">
      <c r="A186" t="str">
        <f>_xlfn.XLOOKUP(Tabela3[[#This Row],[ORDEM]],[1]BASE_PROGRAMAÇÃO!A:A,[1]BASE_PROGRAMAÇÃO!C:C,"")</f>
        <v>CAMINHOES</v>
      </c>
      <c r="B186">
        <f>_xlfn.XLOOKUP(Tabela3[[#This Row],[ORDEM]],[1]BASE_PROGRAMAÇÃO!A:A,[1]BASE_PROGRAMAÇÃO!B:B,"")</f>
        <v>11060070</v>
      </c>
      <c r="C186">
        <v>199454</v>
      </c>
      <c r="D186" t="str">
        <f>_xlfn.XLOOKUP(Tabela3[[#This Row],[Coluna3]],'[1]BASE DE PLANOS'!A:A,'[1]BASE DE PLANOS'!B:B,"")</f>
        <v>Lubrificação</v>
      </c>
      <c r="E186" s="2">
        <f>_xlfn.XLOOKUP(Tabela3[[#This Row],[ORDEM]],[1]BASE_PROGRAMAÇÃO!A:A,[1]BASE_PROGRAMAÇÃO!D:D,"")</f>
        <v>46112</v>
      </c>
      <c r="F186" s="2" t="str">
        <f>_xlfn.XLOOKUP(Tabela3[[#This Row],[ORDEM]],[1]BASE_PROGRAMAÇÃO!A:A,[1]BASE_PROGRAMAÇÃO!O:O,"")</f>
        <v>INTERNA</v>
      </c>
      <c r="G186" s="2" t="str">
        <f>_xlfn.XLOOKUP(Tabela3[[#This Row],[ORDEM]],[1]BASE_PROGRAMAÇÃO!A:A,[1]BASE_PROGRAMAÇÃO!L:L,"")</f>
        <v>COLHEITA</v>
      </c>
      <c r="H186" t="str">
        <f>_xlfn.XLOOKUP(Tabela3[[#This Row],[ORDEM]],[2]S_POST!$C:$C,[2]S_POST!$AG:$AG,"")</f>
        <v xml:space="preserve"> 110020000/100010000</v>
      </c>
      <c r="I186" t="str">
        <f>_xlfn.XLOOKUP(Tabela3[[#This Row],[ORDEM]],[1]BASE_PROGRAMAÇÃO!A:A,[1]BASE_PROGRAMAÇÃO!$E:$E,"")</f>
        <v>Lubrificação</v>
      </c>
      <c r="J186" t="str">
        <f>_xlfn.XLOOKUP(Tabela3[[#This Row],[ORDEM]],[1]ENCERRADAS!A:A,[1]ENCERRADAS!B:B,"")</f>
        <v>P</v>
      </c>
    </row>
    <row r="187" spans="1:10" x14ac:dyDescent="0.25">
      <c r="A187" t="str">
        <f>_xlfn.XLOOKUP(Tabela3[[#This Row],[ORDEM]],[1]BASE_PROGRAMAÇÃO!A:A,[1]BASE_PROGRAMAÇÃO!C:C,"")</f>
        <v>TRATORES</v>
      </c>
      <c r="B187">
        <f>_xlfn.XLOOKUP(Tabela3[[#This Row],[ORDEM]],[1]BASE_PROGRAMAÇÃO!A:A,[1]BASE_PROGRAMAÇÃO!B:B,"")</f>
        <v>13100010</v>
      </c>
      <c r="C187">
        <v>199453</v>
      </c>
      <c r="D187" t="str">
        <f>_xlfn.XLOOKUP(Tabela3[[#This Row],[Coluna3]],'[1]BASE DE PLANOS'!A:A,'[1]BASE DE PLANOS'!B:B,"")</f>
        <v>Lubrificação</v>
      </c>
      <c r="E187" s="2">
        <f>_xlfn.XLOOKUP(Tabela3[[#This Row],[ORDEM]],[1]BASE_PROGRAMAÇÃO!A:A,[1]BASE_PROGRAMAÇÃO!D:D,"")</f>
        <v>46111</v>
      </c>
      <c r="F187" s="2" t="str">
        <f>_xlfn.XLOOKUP(Tabela3[[#This Row],[ORDEM]],[1]BASE_PROGRAMAÇÃO!A:A,[1]BASE_PROGRAMAÇÃO!O:O,"")</f>
        <v>CAMPO</v>
      </c>
      <c r="G187" s="2" t="str">
        <f>_xlfn.XLOOKUP(Tabela3[[#This Row],[ORDEM]],[1]BASE_PROGRAMAÇÃO!A:A,[1]BASE_PROGRAMAÇÃO!L:L,"")</f>
        <v>TRATOS CULTURAIS</v>
      </c>
      <c r="H187" t="str">
        <f>_xlfn.XLOOKUP(Tabela3[[#This Row],[ORDEM]],[2]S_POST!$C:$C,[2]S_POST!$AG:$AG,"")</f>
        <v xml:space="preserve"> 110000500/100000250</v>
      </c>
      <c r="I187" t="str">
        <f>_xlfn.XLOOKUP(Tabela3[[#This Row],[ORDEM]],[1]BASE_PROGRAMAÇÃO!A:A,[1]BASE_PROGRAMAÇÃO!$E:$E,"")</f>
        <v>Lubrificação</v>
      </c>
      <c r="J187" t="str">
        <f>_xlfn.XLOOKUP(Tabela3[[#This Row],[ORDEM]],[1]ENCERRADAS!A:A,[1]ENCERRADAS!B:B,"")</f>
        <v>P</v>
      </c>
    </row>
    <row r="188" spans="1:10" x14ac:dyDescent="0.25">
      <c r="A188" t="str">
        <f>_xlfn.XLOOKUP(Tabela3[[#This Row],[ORDEM]],[1]BASE_PROGRAMAÇÃO!A:A,[1]BASE_PROGRAMAÇÃO!C:C,"")</f>
        <v>CAMINHOES</v>
      </c>
      <c r="B188">
        <f>_xlfn.XLOOKUP(Tabela3[[#This Row],[ORDEM]],[1]BASE_PROGRAMAÇÃO!A:A,[1]BASE_PROGRAMAÇÃO!B:B,"")</f>
        <v>11120127</v>
      </c>
      <c r="C188">
        <v>199452</v>
      </c>
      <c r="D188" t="str">
        <f>_xlfn.XLOOKUP(Tabela3[[#This Row],[Coluna3]],'[1]BASE DE PLANOS'!A:A,'[1]BASE DE PLANOS'!B:B,"")</f>
        <v>Lubrificação</v>
      </c>
      <c r="E188" s="2">
        <f>_xlfn.XLOOKUP(Tabela3[[#This Row],[ORDEM]],[1]BASE_PROGRAMAÇÃO!A:A,[1]BASE_PROGRAMAÇÃO!D:D,"")</f>
        <v>46111</v>
      </c>
      <c r="F188" s="2" t="str">
        <f>_xlfn.XLOOKUP(Tabela3[[#This Row],[ORDEM]],[1]BASE_PROGRAMAÇÃO!A:A,[1]BASE_PROGRAMAÇÃO!O:O,"")</f>
        <v>INTERNA</v>
      </c>
      <c r="G188" s="2" t="str">
        <f>_xlfn.XLOOKUP(Tabela3[[#This Row],[ORDEM]],[1]BASE_PROGRAMAÇÃO!A:A,[1]BASE_PROGRAMAÇÃO!L:L,"")</f>
        <v>APOIO</v>
      </c>
      <c r="H188" t="str">
        <f>_xlfn.XLOOKUP(Tabela3[[#This Row],[ORDEM]],[2]S_POST!$C:$C,[2]S_POST!$AG:$AG,"")</f>
        <v xml:space="preserve"> 100020000/100010000</v>
      </c>
      <c r="I188" t="str">
        <f>_xlfn.XLOOKUP(Tabela3[[#This Row],[ORDEM]],[1]BASE_PROGRAMAÇÃO!A:A,[1]BASE_PROGRAMAÇÃO!$E:$E,"")</f>
        <v>Lubrificação</v>
      </c>
      <c r="J188" t="str">
        <f>_xlfn.XLOOKUP(Tabela3[[#This Row],[ORDEM]],[1]ENCERRADAS!A:A,[1]ENCERRADAS!B:B,"")</f>
        <v>P</v>
      </c>
    </row>
    <row r="189" spans="1:10" x14ac:dyDescent="0.25">
      <c r="A189" t="str">
        <f>_xlfn.XLOOKUP(Tabela3[[#This Row],[ORDEM]],[1]BASE_PROGRAMAÇÃO!A:A,[1]BASE_PROGRAMAÇÃO!C:C,"")</f>
        <v>CAMINHOES</v>
      </c>
      <c r="B189">
        <f>_xlfn.XLOOKUP(Tabela3[[#This Row],[ORDEM]],[1]BASE_PROGRAMAÇÃO!A:A,[1]BASE_PROGRAMAÇÃO!B:B,"")</f>
        <v>11020001</v>
      </c>
      <c r="C189">
        <v>199451</v>
      </c>
      <c r="D189" t="str">
        <f>_xlfn.XLOOKUP(Tabela3[[#This Row],[Coluna3]],'[1]BASE DE PLANOS'!A:A,'[1]BASE DE PLANOS'!B:B,"")</f>
        <v>Lubrificação</v>
      </c>
      <c r="E189" s="2">
        <f>_xlfn.XLOOKUP(Tabela3[[#This Row],[ORDEM]],[1]BASE_PROGRAMAÇÃO!A:A,[1]BASE_PROGRAMAÇÃO!D:D,"")</f>
        <v>46111</v>
      </c>
      <c r="F189" s="2" t="str">
        <f>_xlfn.XLOOKUP(Tabela3[[#This Row],[ORDEM]],[1]BASE_PROGRAMAÇÃO!A:A,[1]BASE_PROGRAMAÇÃO!O:O,"")</f>
        <v>INTERNA</v>
      </c>
      <c r="G189" s="2" t="str">
        <f>_xlfn.XLOOKUP(Tabela3[[#This Row],[ORDEM]],[1]BASE_PROGRAMAÇÃO!A:A,[1]BASE_PROGRAMAÇÃO!L:L,"")</f>
        <v>APOIO</v>
      </c>
      <c r="H189" t="str">
        <f>_xlfn.XLOOKUP(Tabela3[[#This Row],[ORDEM]],[2]S_POST!$C:$C,[2]S_POST!$AG:$AG,"")</f>
        <v xml:space="preserve"> 110060000/110020000/100010000</v>
      </c>
      <c r="I189" t="str">
        <f>_xlfn.XLOOKUP(Tabela3[[#This Row],[ORDEM]],[1]BASE_PROGRAMAÇÃO!A:A,[1]BASE_PROGRAMAÇÃO!$E:$E,"")</f>
        <v>Lubrificação</v>
      </c>
      <c r="J189" t="str">
        <f>_xlfn.XLOOKUP(Tabela3[[#This Row],[ORDEM]],[1]ENCERRADAS!A:A,[1]ENCERRADAS!B:B,"")</f>
        <v>P</v>
      </c>
    </row>
    <row r="190" spans="1:10" x14ac:dyDescent="0.25">
      <c r="A190" t="str">
        <f>_xlfn.XLOOKUP(Tabela3[[#This Row],[ORDEM]],[1]BASE_PROGRAMAÇÃO!A:A,[1]BASE_PROGRAMAÇÃO!C:C,"")</f>
        <v>CAMINHOES</v>
      </c>
      <c r="B190">
        <f>_xlfn.XLOOKUP(Tabela3[[#This Row],[ORDEM]],[1]BASE_PROGRAMAÇÃO!A:A,[1]BASE_PROGRAMAÇÃO!B:B,"")</f>
        <v>11110108</v>
      </c>
      <c r="C190">
        <v>199450</v>
      </c>
      <c r="D190" t="str">
        <f>_xlfn.XLOOKUP(Tabela3[[#This Row],[Coluna3]],'[1]BASE DE PLANOS'!A:A,'[1]BASE DE PLANOS'!B:B,"")</f>
        <v>Coleta</v>
      </c>
      <c r="E190" s="2">
        <f>_xlfn.XLOOKUP(Tabela3[[#This Row],[ORDEM]],[1]BASE_PROGRAMAÇÃO!A:A,[1]BASE_PROGRAMAÇÃO!D:D,"")</f>
        <v>46111</v>
      </c>
      <c r="F190" s="2" t="str">
        <f>_xlfn.XLOOKUP(Tabela3[[#This Row],[ORDEM]],[1]BASE_PROGRAMAÇÃO!A:A,[1]BASE_PROGRAMAÇÃO!O:O,"")</f>
        <v>INTERNA</v>
      </c>
      <c r="G190" s="2" t="str">
        <f>_xlfn.XLOOKUP(Tabela3[[#This Row],[ORDEM]],[1]BASE_PROGRAMAÇÃO!A:A,[1]BASE_PROGRAMAÇÃO!L:L,"")</f>
        <v>AUTOMOTIVA</v>
      </c>
      <c r="H190" t="str">
        <f>_xlfn.XLOOKUP(Tabela3[[#This Row],[ORDEM]],[2]S_POST!$C:$C,[2]S_POST!$AG:$AG,"")</f>
        <v xml:space="preserve"> 100010000</v>
      </c>
      <c r="I190" t="str">
        <f>_xlfn.XLOOKUP(Tabela3[[#This Row],[ORDEM]],[1]BASE_PROGRAMAÇÃO!A:A,[1]BASE_PROGRAMAÇÃO!$E:$E,"")</f>
        <v>Lubrificação</v>
      </c>
      <c r="J190" t="str">
        <f>_xlfn.XLOOKUP(Tabela3[[#This Row],[ORDEM]],[1]ENCERRADAS!A:A,[1]ENCERRADAS!B:B,"")</f>
        <v>P</v>
      </c>
    </row>
    <row r="191" spans="1:10" x14ac:dyDescent="0.25">
      <c r="A191" t="str">
        <f>_xlfn.XLOOKUP(Tabela3[[#This Row],[ORDEM]],[1]BASE_PROGRAMAÇÃO!A:A,[1]BASE_PROGRAMAÇÃO!C:C,"")</f>
        <v>CAMINHOES</v>
      </c>
      <c r="B191">
        <f>_xlfn.XLOOKUP(Tabela3[[#This Row],[ORDEM]],[1]BASE_PROGRAMAÇÃO!A:A,[1]BASE_PROGRAMAÇÃO!B:B,"")</f>
        <v>11110001</v>
      </c>
      <c r="C191">
        <v>199449</v>
      </c>
      <c r="D191" t="str">
        <f>_xlfn.XLOOKUP(Tabela3[[#This Row],[Coluna3]],'[1]BASE DE PLANOS'!A:A,'[1]BASE DE PLANOS'!B:B,"")</f>
        <v>Lubrificação</v>
      </c>
      <c r="E191" s="2">
        <f>_xlfn.XLOOKUP(Tabela3[[#This Row],[ORDEM]],[1]BASE_PROGRAMAÇÃO!A:A,[1]BASE_PROGRAMAÇÃO!D:D,"")</f>
        <v>46111</v>
      </c>
      <c r="F191" s="2" t="str">
        <f>_xlfn.XLOOKUP(Tabela3[[#This Row],[ORDEM]],[1]BASE_PROGRAMAÇÃO!A:A,[1]BASE_PROGRAMAÇÃO!O:O,"")</f>
        <v>INTERNA</v>
      </c>
      <c r="G191" s="2" t="str">
        <f>_xlfn.XLOOKUP(Tabela3[[#This Row],[ORDEM]],[1]BASE_PROGRAMAÇÃO!A:A,[1]BASE_PROGRAMAÇÃO!L:L,"")</f>
        <v>AUTOMOTIVA</v>
      </c>
      <c r="H191" t="str">
        <f>_xlfn.XLOOKUP(Tabela3[[#This Row],[ORDEM]],[2]S_POST!$C:$C,[2]S_POST!$AG:$AG,"")</f>
        <v xml:space="preserve"> 110020000/100010000</v>
      </c>
      <c r="I191" t="str">
        <f>_xlfn.XLOOKUP(Tabela3[[#This Row],[ORDEM]],[1]BASE_PROGRAMAÇÃO!A:A,[1]BASE_PROGRAMAÇÃO!$E:$E,"")</f>
        <v>Lubrificação</v>
      </c>
      <c r="J191" t="str">
        <f>_xlfn.XLOOKUP(Tabela3[[#This Row],[ORDEM]],[1]ENCERRADAS!A:A,[1]ENCERRADAS!B:B,"")</f>
        <v>P</v>
      </c>
    </row>
    <row r="192" spans="1:10" x14ac:dyDescent="0.25">
      <c r="A192" t="str">
        <f>_xlfn.XLOOKUP(Tabela3[[#This Row],[ORDEM]],[1]BASE_PROGRAMAÇÃO!A:A,[1]BASE_PROGRAMAÇÃO!C:C,"")</f>
        <v>CAMINHOES</v>
      </c>
      <c r="B192">
        <f>_xlfn.XLOOKUP(Tabela3[[#This Row],[ORDEM]],[1]BASE_PROGRAMAÇÃO!A:A,[1]BASE_PROGRAMAÇÃO!B:B,"")</f>
        <v>11040039</v>
      </c>
      <c r="C192">
        <v>199412</v>
      </c>
      <c r="D192" t="str">
        <f>_xlfn.XLOOKUP(Tabela3[[#This Row],[Coluna3]],'[1]BASE DE PLANOS'!A:A,'[1]BASE DE PLANOS'!B:B,"")</f>
        <v>Mecânica</v>
      </c>
      <c r="E192" s="2">
        <f>_xlfn.XLOOKUP(Tabela3[[#This Row],[ORDEM]],[1]BASE_PROGRAMAÇÃO!A:A,[1]BASE_PROGRAMAÇÃO!D:D,"")</f>
        <v>46111</v>
      </c>
      <c r="F192" s="2" t="str">
        <f>_xlfn.XLOOKUP(Tabela3[[#This Row],[ORDEM]],[1]BASE_PROGRAMAÇÃO!A:A,[1]BASE_PROGRAMAÇÃO!O:O,"")</f>
        <v>INTERNA</v>
      </c>
      <c r="G192" s="2" t="str">
        <f>_xlfn.XLOOKUP(Tabela3[[#This Row],[ORDEM]],[1]BASE_PROGRAMAÇÃO!A:A,[1]BASE_PROGRAMAÇÃO!L:L,"")</f>
        <v>APOIO</v>
      </c>
      <c r="H192" t="str">
        <f>_xlfn.XLOOKUP(Tabela3[[#This Row],[ORDEM]],[2]S_POST!$C:$C,[2]S_POST!$AG:$AG,"")</f>
        <v xml:space="preserve"> 210060000/210020000/210010000</v>
      </c>
      <c r="I192" t="str">
        <f>_xlfn.XLOOKUP(Tabela3[[#This Row],[ORDEM]],[1]BASE_PROGRAMAÇÃO!A:A,[1]BASE_PROGRAMAÇÃO!$E:$E,"")</f>
        <v>Mecânica</v>
      </c>
      <c r="J192" t="str">
        <f>_xlfn.XLOOKUP(Tabela3[[#This Row],[ORDEM]],[1]ENCERRADAS!A:A,[1]ENCERRADAS!B:B,"")</f>
        <v>P</v>
      </c>
    </row>
    <row r="193" spans="1:10" x14ac:dyDescent="0.25">
      <c r="A193" t="str">
        <f>_xlfn.XLOOKUP(Tabela3[[#This Row],[ORDEM]],[1]BASE_PROGRAMAÇÃO!A:A,[1]BASE_PROGRAMAÇÃO!C:C,"")</f>
        <v>IMPLEMENTOS AGRICOLAS</v>
      </c>
      <c r="B193">
        <f>_xlfn.XLOOKUP(Tabela3[[#This Row],[ORDEM]],[1]BASE_PROGRAMAÇÃO!A:A,[1]BASE_PROGRAMAÇÃO!B:B,"")</f>
        <v>15220005</v>
      </c>
      <c r="C193">
        <v>200408</v>
      </c>
      <c r="D193" t="str">
        <f>_xlfn.XLOOKUP(Tabela3[[#This Row],[Coluna3]],'[1]BASE DE PLANOS'!A:A,'[1]BASE DE PLANOS'!B:B,"")</f>
        <v>Mecânica</v>
      </c>
      <c r="E193" s="2">
        <f>_xlfn.XLOOKUP(Tabela3[[#This Row],[ORDEM]],[1]BASE_PROGRAMAÇÃO!A:A,[1]BASE_PROGRAMAÇÃO!D:D,"")</f>
        <v>46113</v>
      </c>
      <c r="F193" s="2" t="str">
        <f>_xlfn.XLOOKUP(Tabela3[[#This Row],[ORDEM]],[1]BASE_PROGRAMAÇÃO!A:A,[1]BASE_PROGRAMAÇÃO!O:O,"")</f>
        <v>CAMPO</v>
      </c>
      <c r="G193" s="2" t="str">
        <f>_xlfn.XLOOKUP(Tabela3[[#This Row],[ORDEM]],[1]BASE_PROGRAMAÇÃO!A:A,[1]BASE_PROGRAMAÇÃO!L:L,"")</f>
        <v>COLHEITA</v>
      </c>
      <c r="H193" t="str">
        <f>_xlfn.XLOOKUP(Tabela3[[#This Row],[ORDEM]],[2]S_POST!$C:$C,[2]S_POST!$AG:$AG,"")</f>
        <v xml:space="preserve"> 310000030</v>
      </c>
      <c r="I193" t="str">
        <f>_xlfn.XLOOKUP(Tabela3[[#This Row],[ORDEM]],[1]BASE_PROGRAMAÇÃO!A:A,[1]BASE_PROGRAMAÇÃO!$E:$E,"")</f>
        <v>Mecânica</v>
      </c>
      <c r="J193" t="str">
        <f>_xlfn.XLOOKUP(Tabela3[[#This Row],[ORDEM]],[1]ENCERRADAS!A:A,[1]ENCERRADAS!B:B,"")</f>
        <v>P</v>
      </c>
    </row>
    <row r="194" spans="1:10" x14ac:dyDescent="0.25">
      <c r="A194" t="str">
        <f>_xlfn.XLOOKUP(Tabela3[[#This Row],[ORDEM]],[1]BASE_PROGRAMAÇÃO!A:A,[1]BASE_PROGRAMAÇÃO!C:C,"")</f>
        <v>CAMINHOES</v>
      </c>
      <c r="B194">
        <f>_xlfn.XLOOKUP(Tabela3[[#This Row],[ORDEM]],[1]BASE_PROGRAMAÇÃO!A:A,[1]BASE_PROGRAMAÇÃO!B:B,"")</f>
        <v>11110005</v>
      </c>
      <c r="C194">
        <v>198702</v>
      </c>
      <c r="D194" t="str">
        <f>_xlfn.XLOOKUP(Tabela3[[#This Row],[Coluna3]],'[1]BASE DE PLANOS'!A:A,'[1]BASE DE PLANOS'!B:B,"")</f>
        <v>Coleta</v>
      </c>
      <c r="E194" s="2">
        <f>_xlfn.XLOOKUP(Tabela3[[#This Row],[ORDEM]],[1]BASE_PROGRAMAÇÃO!A:A,[1]BASE_PROGRAMAÇÃO!D:D,"")</f>
        <v>46115</v>
      </c>
      <c r="F194" s="2" t="str">
        <f>_xlfn.XLOOKUP(Tabela3[[#This Row],[ORDEM]],[1]BASE_PROGRAMAÇÃO!A:A,[1]BASE_PROGRAMAÇÃO!O:O,"")</f>
        <v>INTERNA</v>
      </c>
      <c r="G194" s="2" t="str">
        <f>_xlfn.XLOOKUP(Tabela3[[#This Row],[ORDEM]],[1]BASE_PROGRAMAÇÃO!A:A,[1]BASE_PROGRAMAÇÃO!L:L,"")</f>
        <v>AUTOMOTIVA</v>
      </c>
      <c r="H194" t="str">
        <f>_xlfn.XLOOKUP(Tabela3[[#This Row],[ORDEM]],[2]S_POST!$C:$C,[2]S_POST!$AG:$AG,"")</f>
        <v xml:space="preserve"> 100010000</v>
      </c>
      <c r="I194" t="str">
        <f>_xlfn.XLOOKUP(Tabela3[[#This Row],[ORDEM]],[1]BASE_PROGRAMAÇÃO!A:A,[1]BASE_PROGRAMAÇÃO!$E:$E,"")</f>
        <v>Lubrificação</v>
      </c>
      <c r="J194" t="str">
        <f>_xlfn.XLOOKUP(Tabela3[[#This Row],[ORDEM]],[1]ENCERRADAS!A:A,[1]ENCERRADAS!B:B,"")</f>
        <v>P</v>
      </c>
    </row>
    <row r="195" spans="1:10" x14ac:dyDescent="0.25">
      <c r="A195" t="str">
        <f>_xlfn.XLOOKUP(Tabela3[[#This Row],[ORDEM]],[1]BASE_PROGRAMAÇÃO!A:A,[1]BASE_PROGRAMAÇÃO!C:C,"")</f>
        <v>CAMINHOES</v>
      </c>
      <c r="B195">
        <f>_xlfn.XLOOKUP(Tabela3[[#This Row],[ORDEM]],[1]BASE_PROGRAMAÇÃO!A:A,[1]BASE_PROGRAMAÇÃO!B:B,"")</f>
        <v>11120004</v>
      </c>
      <c r="C195">
        <v>198049</v>
      </c>
      <c r="D195" t="str">
        <f>_xlfn.XLOOKUP(Tabela3[[#This Row],[Coluna3]],'[1]BASE DE PLANOS'!A:A,'[1]BASE DE PLANOS'!B:B,"")</f>
        <v/>
      </c>
      <c r="E195" s="2">
        <f>_xlfn.XLOOKUP(Tabela3[[#This Row],[ORDEM]],[1]BASE_PROGRAMAÇÃO!A:A,[1]BASE_PROGRAMAÇÃO!D:D,"")</f>
        <v>46116</v>
      </c>
      <c r="F195" s="2" t="str">
        <f>_xlfn.XLOOKUP(Tabela3[[#This Row],[ORDEM]],[1]BASE_PROGRAMAÇÃO!A:A,[1]BASE_PROGRAMAÇÃO!O:O,"")</f>
        <v>INTERNA</v>
      </c>
      <c r="G195" s="2" t="str">
        <f>_xlfn.XLOOKUP(Tabela3[[#This Row],[ORDEM]],[1]BASE_PROGRAMAÇÃO!A:A,[1]BASE_PROGRAMAÇÃO!L:L,"")</f>
        <v>APOIO</v>
      </c>
      <c r="H195" t="str">
        <f>_xlfn.XLOOKUP(Tabela3[[#This Row],[ORDEM]],[2]S_POST!$C:$C,[2]S_POST!$AG:$AG,"")</f>
        <v xml:space="preserve"> 100060000/100040000/100020000/100010000</v>
      </c>
      <c r="I195" t="str">
        <f>_xlfn.XLOOKUP(Tabela3[[#This Row],[ORDEM]],[1]BASE_PROGRAMAÇÃO!A:A,[1]BASE_PROGRAMAÇÃO!$E:$E,"")</f>
        <v>Lubrificação</v>
      </c>
      <c r="J195" t="str">
        <f>_xlfn.XLOOKUP(Tabela3[[#This Row],[ORDEM]],[1]ENCERRADAS!A:A,[1]ENCERRADAS!B:B,"")</f>
        <v>P</v>
      </c>
    </row>
    <row r="196" spans="1:10" x14ac:dyDescent="0.25">
      <c r="A196" t="str">
        <f>_xlfn.XLOOKUP(Tabela3[[#This Row],[ORDEM]],[1]BASE_PROGRAMAÇÃO!A:A,[1]BASE_PROGRAMAÇÃO!C:C,"")</f>
        <v>TRATORES</v>
      </c>
      <c r="B196">
        <f>_xlfn.XLOOKUP(Tabela3[[#This Row],[ORDEM]],[1]BASE_PROGRAMAÇÃO!A:A,[1]BASE_PROGRAMAÇÃO!B:B,"")</f>
        <v>13090331</v>
      </c>
      <c r="C196">
        <v>197197</v>
      </c>
      <c r="D196" t="str">
        <f>_xlfn.XLOOKUP(Tabela3[[#This Row],[Coluna3]],'[1]BASE DE PLANOS'!A:A,'[1]BASE DE PLANOS'!B:B,"")</f>
        <v>Lubrificação</v>
      </c>
      <c r="E196" s="2">
        <f>_xlfn.XLOOKUP(Tabela3[[#This Row],[ORDEM]],[1]BASE_PROGRAMAÇÃO!A:A,[1]BASE_PROGRAMAÇÃO!D:D,"")</f>
        <v>46116</v>
      </c>
      <c r="F196" s="2" t="str">
        <f>_xlfn.XLOOKUP(Tabela3[[#This Row],[ORDEM]],[1]BASE_PROGRAMAÇÃO!A:A,[1]BASE_PROGRAMAÇÃO!O:O,"")</f>
        <v>CAMPO</v>
      </c>
      <c r="G196" s="2" t="str">
        <f>_xlfn.XLOOKUP(Tabela3[[#This Row],[ORDEM]],[1]BASE_PROGRAMAÇÃO!A:A,[1]BASE_PROGRAMAÇÃO!L:L,"")</f>
        <v>TRATOS CULTURAIS</v>
      </c>
      <c r="H196" t="str">
        <f>_xlfn.XLOOKUP(Tabela3[[#This Row],[ORDEM]],[2]S_POST!$C:$C,[2]S_POST!$AG:$AG,"")</f>
        <v xml:space="preserve"> 110000500/100000250</v>
      </c>
      <c r="I196" t="str">
        <f>_xlfn.XLOOKUP(Tabela3[[#This Row],[ORDEM]],[1]BASE_PROGRAMAÇÃO!A:A,[1]BASE_PROGRAMAÇÃO!$E:$E,"")</f>
        <v>Lubrificação</v>
      </c>
      <c r="J196" t="str">
        <f>_xlfn.XLOOKUP(Tabela3[[#This Row],[ORDEM]],[1]ENCERRADAS!A:A,[1]ENCERRADAS!B:B,"")</f>
        <v>P</v>
      </c>
    </row>
    <row r="197" spans="1:10" x14ac:dyDescent="0.25">
      <c r="A197" t="str">
        <f>_xlfn.XLOOKUP(Tabela3[[#This Row],[ORDEM]],[1]BASE_PROGRAMAÇÃO!A:A,[1]BASE_PROGRAMAÇÃO!C:C,"")</f>
        <v>CAMINHOES</v>
      </c>
      <c r="B197">
        <f>_xlfn.XLOOKUP(Tabela3[[#This Row],[ORDEM]],[1]BASE_PROGRAMAÇÃO!A:A,[1]BASE_PROGRAMAÇÃO!B:B,"")</f>
        <v>11020033</v>
      </c>
      <c r="C197">
        <v>200627</v>
      </c>
      <c r="D197" t="str">
        <f>_xlfn.XLOOKUP(Tabela3[[#This Row],[Coluna3]],'[1]BASE DE PLANOS'!A:A,'[1]BASE DE PLANOS'!B:B,"")</f>
        <v>Mecânica</v>
      </c>
      <c r="E197" s="2">
        <f>_xlfn.XLOOKUP(Tabela3[[#This Row],[ORDEM]],[1]BASE_PROGRAMAÇÃO!A:A,[1]BASE_PROGRAMAÇÃO!D:D,"")</f>
        <v>46116</v>
      </c>
      <c r="F197" s="2" t="str">
        <f>_xlfn.XLOOKUP(Tabela3[[#This Row],[ORDEM]],[1]BASE_PROGRAMAÇÃO!A:A,[1]BASE_PROGRAMAÇÃO!O:O,"")</f>
        <v>INTERNA</v>
      </c>
      <c r="G197" s="2" t="str">
        <f>_xlfn.XLOOKUP(Tabela3[[#This Row],[ORDEM]],[1]BASE_PROGRAMAÇÃO!A:A,[1]BASE_PROGRAMAÇÃO!L:L,"")</f>
        <v>INDÚSTRIA</v>
      </c>
      <c r="H197" t="str">
        <f>_xlfn.XLOOKUP(Tabela3[[#This Row],[ORDEM]],[2]S_POST!$C:$C,[2]S_POST!$AG:$AG,"")</f>
        <v xml:space="preserve"> 610020000/210060000/210020000/210010000</v>
      </c>
      <c r="I197" t="str">
        <f>_xlfn.XLOOKUP(Tabela3[[#This Row],[ORDEM]],[1]BASE_PROGRAMAÇÃO!A:A,[1]BASE_PROGRAMAÇÃO!$E:$E,"")</f>
        <v>Mecânica</v>
      </c>
      <c r="J197" t="str">
        <f>_xlfn.XLOOKUP(Tabela3[[#This Row],[ORDEM]],[1]ENCERRADAS!A:A,[1]ENCERRADAS!B:B,"")</f>
        <v>P</v>
      </c>
    </row>
    <row r="198" spans="1:10" x14ac:dyDescent="0.25">
      <c r="A198" t="str">
        <f>_xlfn.XLOOKUP(Tabela3[[#This Row],[ORDEM]],[1]BASE_PROGRAMAÇÃO!A:A,[1]BASE_PROGRAMAÇÃO!C:C,"")</f>
        <v>IMPLEMENTOS AGRICOLAS</v>
      </c>
      <c r="B198">
        <f>_xlfn.XLOOKUP(Tabela3[[#This Row],[ORDEM]],[1]BASE_PROGRAMAÇÃO!A:A,[1]BASE_PROGRAMAÇÃO!B:B,"")</f>
        <v>15220003</v>
      </c>
      <c r="C198">
        <v>200407</v>
      </c>
      <c r="D198" t="str">
        <f>_xlfn.XLOOKUP(Tabela3[[#This Row],[Coluna3]],'[1]BASE DE PLANOS'!A:A,'[1]BASE DE PLANOS'!B:B,"")</f>
        <v>Mecânica</v>
      </c>
      <c r="E198" s="2">
        <f>_xlfn.XLOOKUP(Tabela3[[#This Row],[ORDEM]],[1]BASE_PROGRAMAÇÃO!A:A,[1]BASE_PROGRAMAÇÃO!D:D,"")</f>
        <v>46112</v>
      </c>
      <c r="F198" s="2" t="str">
        <f>_xlfn.XLOOKUP(Tabela3[[#This Row],[ORDEM]],[1]BASE_PROGRAMAÇÃO!A:A,[1]BASE_PROGRAMAÇÃO!O:O,"")</f>
        <v>CAMPO</v>
      </c>
      <c r="G198" s="2" t="str">
        <f>_xlfn.XLOOKUP(Tabela3[[#This Row],[ORDEM]],[1]BASE_PROGRAMAÇÃO!A:A,[1]BASE_PROGRAMAÇÃO!L:L,"")</f>
        <v>COLHEITA</v>
      </c>
      <c r="H198" t="str">
        <f>_xlfn.XLOOKUP(Tabela3[[#This Row],[ORDEM]],[2]S_POST!$C:$C,[2]S_POST!$AG:$AG,"")</f>
        <v xml:space="preserve"> 310000030</v>
      </c>
      <c r="I198" t="str">
        <f>_xlfn.XLOOKUP(Tabela3[[#This Row],[ORDEM]],[1]BASE_PROGRAMAÇÃO!A:A,[1]BASE_PROGRAMAÇÃO!$E:$E,"")</f>
        <v>Mecânica</v>
      </c>
      <c r="J198" t="str">
        <f>_xlfn.XLOOKUP(Tabela3[[#This Row],[ORDEM]],[1]ENCERRADAS!A:A,[1]ENCERRADAS!B:B,"")</f>
        <v>E</v>
      </c>
    </row>
    <row r="199" spans="1:10" x14ac:dyDescent="0.25">
      <c r="A199" t="str">
        <f>_xlfn.XLOOKUP(Tabela3[[#This Row],[ORDEM]],[1]BASE_PROGRAMAÇÃO!A:A,[1]BASE_PROGRAMAÇÃO!C:C,"")</f>
        <v>IMPLEMENTOS AGRICOLAS</v>
      </c>
      <c r="B199">
        <f>_xlfn.XLOOKUP(Tabela3[[#This Row],[ORDEM]],[1]BASE_PROGRAMAÇÃO!A:A,[1]BASE_PROGRAMAÇÃO!B:B,"")</f>
        <v>15220001</v>
      </c>
      <c r="C199">
        <v>200406</v>
      </c>
      <c r="D199" t="str">
        <f>_xlfn.XLOOKUP(Tabela3[[#This Row],[Coluna3]],'[1]BASE DE PLANOS'!A:A,'[1]BASE DE PLANOS'!B:B,"")</f>
        <v>Mecânica</v>
      </c>
      <c r="E199" s="2">
        <f>_xlfn.XLOOKUP(Tabela3[[#This Row],[ORDEM]],[1]BASE_PROGRAMAÇÃO!A:A,[1]BASE_PROGRAMAÇÃO!D:D,"")</f>
        <v>46111</v>
      </c>
      <c r="F199" s="2" t="str">
        <f>_xlfn.XLOOKUP(Tabela3[[#This Row],[ORDEM]],[1]BASE_PROGRAMAÇÃO!A:A,[1]BASE_PROGRAMAÇÃO!O:O,"")</f>
        <v>CAMPO</v>
      </c>
      <c r="G199" s="2" t="str">
        <f>_xlfn.XLOOKUP(Tabela3[[#This Row],[ORDEM]],[1]BASE_PROGRAMAÇÃO!A:A,[1]BASE_PROGRAMAÇÃO!L:L,"")</f>
        <v>COLHEITA</v>
      </c>
      <c r="H199" t="str">
        <f>_xlfn.XLOOKUP(Tabela3[[#This Row],[ORDEM]],[2]S_POST!$C:$C,[2]S_POST!$AG:$AG,"")</f>
        <v xml:space="preserve"> 310000030</v>
      </c>
      <c r="I199" t="str">
        <f>_xlfn.XLOOKUP(Tabela3[[#This Row],[ORDEM]],[1]BASE_PROGRAMAÇÃO!A:A,[1]BASE_PROGRAMAÇÃO!$E:$E,"")</f>
        <v>Mecânica</v>
      </c>
      <c r="J199" t="str">
        <f>_xlfn.XLOOKUP(Tabela3[[#This Row],[ORDEM]],[1]ENCERRADAS!A:A,[1]ENCERRADAS!B:B,"")</f>
        <v>E</v>
      </c>
    </row>
    <row r="200" spans="1:10" x14ac:dyDescent="0.25">
      <c r="A200" t="str">
        <f>_xlfn.XLOOKUP(Tabela3[[#This Row],[ORDEM]],[1]BASE_PROGRAMAÇÃO!A:A,[1]BASE_PROGRAMAÇÃO!C:C,"")</f>
        <v>MAQUINAS PESADAS</v>
      </c>
      <c r="B200">
        <f>_xlfn.XLOOKUP(Tabela3[[#This Row],[ORDEM]],[1]BASE_PROGRAMAÇÃO!A:A,[1]BASE_PROGRAMAÇÃO!B:B,"")</f>
        <v>13040060</v>
      </c>
      <c r="C200">
        <v>200624</v>
      </c>
      <c r="D200" t="str">
        <f>_xlfn.XLOOKUP(Tabela3[[#This Row],[Coluna3]],'[1]BASE DE PLANOS'!A:A,'[1]BASE DE PLANOS'!B:B,"")</f>
        <v/>
      </c>
      <c r="E200" s="2">
        <f>_xlfn.XLOOKUP(Tabela3[[#This Row],[ORDEM]],[1]BASE_PROGRAMAÇÃO!A:A,[1]BASE_PROGRAMAÇÃO!D:D,"")</f>
        <v>46114</v>
      </c>
      <c r="F200" s="2" t="str">
        <f>_xlfn.XLOOKUP(Tabela3[[#This Row],[ORDEM]],[1]BASE_PROGRAMAÇÃO!A:A,[1]BASE_PROGRAMAÇÃO!O:O,"")</f>
        <v>CAMPO</v>
      </c>
      <c r="G200" s="2" t="str">
        <f>_xlfn.XLOOKUP(Tabela3[[#This Row],[ORDEM]],[1]BASE_PROGRAMAÇÃO!A:A,[1]BASE_PROGRAMAÇÃO!L:L,"")</f>
        <v>PREPARO</v>
      </c>
      <c r="H200" t="str">
        <f>_xlfn.XLOOKUP(Tabela3[[#This Row],[ORDEM]],[2]S_POST!$C:$C,[2]S_POST!$AG:$AG,"")</f>
        <v xml:space="preserve"> 210002000</v>
      </c>
      <c r="I200" t="str">
        <f>_xlfn.XLOOKUP(Tabela3[[#This Row],[ORDEM]],[1]BASE_PROGRAMAÇÃO!A:A,[1]BASE_PROGRAMAÇÃO!$E:$E,"")</f>
        <v>Mecânica</v>
      </c>
      <c r="J200" t="str">
        <f>_xlfn.XLOOKUP(Tabela3[[#This Row],[ORDEM]],[1]ENCERRADAS!A:A,[1]ENCERRADAS!B:B,"")</f>
        <v>P</v>
      </c>
    </row>
    <row r="201" spans="1:10" x14ac:dyDescent="0.25">
      <c r="A201" t="str">
        <f>_xlfn.XLOOKUP(Tabela3[[#This Row],[ORDEM]],[1]BASE_PROGRAMAÇÃO!A:A,[1]BASE_PROGRAMAÇÃO!C:C,"")</f>
        <v>TRATORES</v>
      </c>
      <c r="B201">
        <f>_xlfn.XLOOKUP(Tabela3[[#This Row],[ORDEM]],[1]BASE_PROGRAMAÇÃO!A:A,[1]BASE_PROGRAMAÇÃO!B:B,"")</f>
        <v>13100025</v>
      </c>
      <c r="C201">
        <v>200626</v>
      </c>
      <c r="D201" t="str">
        <f>_xlfn.XLOOKUP(Tabela3[[#This Row],[Coluna3]],'[1]BASE DE PLANOS'!A:A,'[1]BASE DE PLANOS'!B:B,"")</f>
        <v>Mecânica</v>
      </c>
      <c r="E201" s="2">
        <f>_xlfn.XLOOKUP(Tabela3[[#This Row],[ORDEM]],[1]BASE_PROGRAMAÇÃO!A:A,[1]BASE_PROGRAMAÇÃO!D:D,"")</f>
        <v>46116</v>
      </c>
      <c r="F201" s="2" t="str">
        <f>_xlfn.XLOOKUP(Tabela3[[#This Row],[ORDEM]],[1]BASE_PROGRAMAÇÃO!A:A,[1]BASE_PROGRAMAÇÃO!O:O,"")</f>
        <v>CAMPO</v>
      </c>
      <c r="G201" s="2" t="str">
        <f>_xlfn.XLOOKUP(Tabela3[[#This Row],[ORDEM]],[1]BASE_PROGRAMAÇÃO!A:A,[1]BASE_PROGRAMAÇÃO!L:L,"")</f>
        <v>COLHEITA</v>
      </c>
      <c r="H201" t="str">
        <f>_xlfn.XLOOKUP(Tabela3[[#This Row],[ORDEM]],[2]S_POST!$C:$C,[2]S_POST!$AG:$AG,"")</f>
        <v xml:space="preserve"> 210000500</v>
      </c>
      <c r="I201" t="str">
        <f>_xlfn.XLOOKUP(Tabela3[[#This Row],[ORDEM]],[1]BASE_PROGRAMAÇÃO!A:A,[1]BASE_PROGRAMAÇÃO!$E:$E,"")</f>
        <v>Mecânica</v>
      </c>
      <c r="J201" t="str">
        <f>_xlfn.XLOOKUP(Tabela3[[#This Row],[ORDEM]],[1]ENCERRADAS!A:A,[1]ENCERRADAS!B:B,"")</f>
        <v>P</v>
      </c>
    </row>
    <row r="202" spans="1:10" x14ac:dyDescent="0.25">
      <c r="A202" t="str">
        <f>_xlfn.XLOOKUP(Tabela3[[#This Row],[ORDEM]],[1]BASE_PROGRAMAÇÃO!A:A,[1]BASE_PROGRAMAÇÃO!C:C,"")</f>
        <v>TRATORES</v>
      </c>
      <c r="B202">
        <f>_xlfn.XLOOKUP(Tabela3[[#This Row],[ORDEM]],[1]BASE_PROGRAMAÇÃO!A:A,[1]BASE_PROGRAMAÇÃO!B:B,"")</f>
        <v>13100489</v>
      </c>
      <c r="C202">
        <v>200620</v>
      </c>
      <c r="D202" t="str">
        <f>_xlfn.XLOOKUP(Tabela3[[#This Row],[Coluna3]],'[1]BASE DE PLANOS'!A:A,'[1]BASE DE PLANOS'!B:B,"")</f>
        <v>Mecânica</v>
      </c>
      <c r="E202" s="2">
        <f>_xlfn.XLOOKUP(Tabela3[[#This Row],[ORDEM]],[1]BASE_PROGRAMAÇÃO!A:A,[1]BASE_PROGRAMAÇÃO!D:D,"")</f>
        <v>46113</v>
      </c>
      <c r="F202" s="2" t="str">
        <f>_xlfn.XLOOKUP(Tabela3[[#This Row],[ORDEM]],[1]BASE_PROGRAMAÇÃO!A:A,[1]BASE_PROGRAMAÇÃO!O:O,"")</f>
        <v>CAMPO</v>
      </c>
      <c r="G202" s="2" t="str">
        <f>_xlfn.XLOOKUP(Tabela3[[#This Row],[ORDEM]],[1]BASE_PROGRAMAÇÃO!A:A,[1]BASE_PROGRAMAÇÃO!L:L,"")</f>
        <v>COLHEITA</v>
      </c>
      <c r="H202" t="str">
        <f>_xlfn.XLOOKUP(Tabela3[[#This Row],[ORDEM]],[2]S_POST!$C:$C,[2]S_POST!$AG:$AG,"")</f>
        <v xml:space="preserve"> 210000500</v>
      </c>
      <c r="I202" t="str">
        <f>_xlfn.XLOOKUP(Tabela3[[#This Row],[ORDEM]],[1]BASE_PROGRAMAÇÃO!A:A,[1]BASE_PROGRAMAÇÃO!$E:$E,"")</f>
        <v>Mecânica</v>
      </c>
      <c r="J202" t="str">
        <f>_xlfn.XLOOKUP(Tabela3[[#This Row],[ORDEM]],[1]ENCERRADAS!A:A,[1]ENCERRADAS!B:B,"")</f>
        <v>P</v>
      </c>
    </row>
    <row r="203" spans="1:10" x14ac:dyDescent="0.25">
      <c r="A203" t="str">
        <f>_xlfn.XLOOKUP(Tabela3[[#This Row],[ORDEM]],[1]BASE_PROGRAMAÇÃO!A:A,[1]BASE_PROGRAMAÇÃO!C:C,"")</f>
        <v>TRATORES</v>
      </c>
      <c r="B203">
        <f>_xlfn.XLOOKUP(Tabela3[[#This Row],[ORDEM]],[1]BASE_PROGRAMAÇÃO!A:A,[1]BASE_PROGRAMAÇÃO!B:B,"")</f>
        <v>13100017</v>
      </c>
      <c r="C203">
        <v>200619</v>
      </c>
      <c r="D203" t="str">
        <f>_xlfn.XLOOKUP(Tabela3[[#This Row],[Coluna3]],'[1]BASE DE PLANOS'!A:A,'[1]BASE DE PLANOS'!B:B,"")</f>
        <v>Mecânica</v>
      </c>
      <c r="E203" s="2">
        <f>_xlfn.XLOOKUP(Tabela3[[#This Row],[ORDEM]],[1]BASE_PROGRAMAÇÃO!A:A,[1]BASE_PROGRAMAÇÃO!D:D,"")</f>
        <v>46113</v>
      </c>
      <c r="F203" s="2" t="str">
        <f>_xlfn.XLOOKUP(Tabela3[[#This Row],[ORDEM]],[1]BASE_PROGRAMAÇÃO!A:A,[1]BASE_PROGRAMAÇÃO!O:O,"")</f>
        <v>CAMPO</v>
      </c>
      <c r="G203" s="2" t="str">
        <f>_xlfn.XLOOKUP(Tabela3[[#This Row],[ORDEM]],[1]BASE_PROGRAMAÇÃO!A:A,[1]BASE_PROGRAMAÇÃO!L:L,"")</f>
        <v>COLHEITA</v>
      </c>
      <c r="H203" t="str">
        <f>_xlfn.XLOOKUP(Tabela3[[#This Row],[ORDEM]],[2]S_POST!$C:$C,[2]S_POST!$AG:$AG,"")</f>
        <v xml:space="preserve"> 210000500</v>
      </c>
      <c r="I203" t="str">
        <f>_xlfn.XLOOKUP(Tabela3[[#This Row],[ORDEM]],[1]BASE_PROGRAMAÇÃO!A:A,[1]BASE_PROGRAMAÇÃO!$E:$E,"")</f>
        <v>Mecânica</v>
      </c>
      <c r="J203" t="str">
        <f>_xlfn.XLOOKUP(Tabela3[[#This Row],[ORDEM]],[1]ENCERRADAS!A:A,[1]ENCERRADAS!B:B,"")</f>
        <v>P</v>
      </c>
    </row>
    <row r="204" spans="1:10" x14ac:dyDescent="0.25">
      <c r="A204" t="str">
        <f>_xlfn.XLOOKUP(Tabela3[[#This Row],[ORDEM]],[1]BASE_PROGRAMAÇÃO!A:A,[1]BASE_PROGRAMAÇÃO!C:C,"")</f>
        <v>TRATORES</v>
      </c>
      <c r="B204">
        <f>_xlfn.XLOOKUP(Tabela3[[#This Row],[ORDEM]],[1]BASE_PROGRAMAÇÃO!A:A,[1]BASE_PROGRAMAÇÃO!B:B,"")</f>
        <v>13090025</v>
      </c>
      <c r="C204">
        <v>199407</v>
      </c>
      <c r="D204" t="str">
        <f>_xlfn.XLOOKUP(Tabela3[[#This Row],[Coluna3]],'[1]BASE DE PLANOS'!A:A,'[1]BASE DE PLANOS'!B:B,"")</f>
        <v>Mecânica</v>
      </c>
      <c r="E204" s="2">
        <f>_xlfn.XLOOKUP(Tabela3[[#This Row],[ORDEM]],[1]BASE_PROGRAMAÇÃO!A:A,[1]BASE_PROGRAMAÇÃO!D:D,"")</f>
        <v>46112</v>
      </c>
      <c r="F204" s="2" t="str">
        <f>_xlfn.XLOOKUP(Tabela3[[#This Row],[ORDEM]],[1]BASE_PROGRAMAÇÃO!A:A,[1]BASE_PROGRAMAÇÃO!O:O,"")</f>
        <v>CAMPO</v>
      </c>
      <c r="G204" s="2" t="str">
        <f>_xlfn.XLOOKUP(Tabela3[[#This Row],[ORDEM]],[1]BASE_PROGRAMAÇÃO!A:A,[1]BASE_PROGRAMAÇÃO!L:L,"")</f>
        <v>PLANTIO</v>
      </c>
      <c r="H204" t="str">
        <f>_xlfn.XLOOKUP(Tabela3[[#This Row],[ORDEM]],[2]S_POST!$C:$C,[2]S_POST!$AG:$AG,"")</f>
        <v xml:space="preserve"> 210000500</v>
      </c>
      <c r="I204" t="str">
        <f>_xlfn.XLOOKUP(Tabela3[[#This Row],[ORDEM]],[1]BASE_PROGRAMAÇÃO!A:A,[1]BASE_PROGRAMAÇÃO!$E:$E,"")</f>
        <v>Mecânica</v>
      </c>
      <c r="J204" t="str">
        <f>_xlfn.XLOOKUP(Tabela3[[#This Row],[ORDEM]],[1]ENCERRADAS!A:A,[1]ENCERRADAS!B:B,"")</f>
        <v>P</v>
      </c>
    </row>
    <row r="205" spans="1:10" x14ac:dyDescent="0.25">
      <c r="A205" t="str">
        <f>_xlfn.XLOOKUP(Tabela3[[#This Row],[ORDEM]],[1]BASE_PROGRAMAÇÃO!A:A,[1]BASE_PROGRAMAÇÃO!C:C,"")</f>
        <v>CAMINHOES</v>
      </c>
      <c r="B205">
        <f>_xlfn.XLOOKUP(Tabela3[[#This Row],[ORDEM]],[1]BASE_PROGRAMAÇÃO!A:A,[1]BASE_PROGRAMAÇÃO!B:B,"")</f>
        <v>11140151</v>
      </c>
      <c r="C205">
        <v>200623</v>
      </c>
      <c r="D205" t="str">
        <f>_xlfn.XLOOKUP(Tabela3[[#This Row],[Coluna3]],'[1]BASE DE PLANOS'!A:A,'[1]BASE DE PLANOS'!B:B,"")</f>
        <v>MEC SRS</v>
      </c>
      <c r="E205" s="2">
        <f>_xlfn.XLOOKUP(Tabela3[[#This Row],[ORDEM]],[1]BASE_PROGRAMAÇÃO!A:A,[1]BASE_PROGRAMAÇÃO!D:D,"")</f>
        <v>46114</v>
      </c>
      <c r="F205" s="2" t="str">
        <f>_xlfn.XLOOKUP(Tabela3[[#This Row],[ORDEM]],[1]BASE_PROGRAMAÇÃO!A:A,[1]BASE_PROGRAMAÇÃO!O:O,"")</f>
        <v>INTERNA</v>
      </c>
      <c r="G205" s="2" t="str">
        <f>_xlfn.XLOOKUP(Tabela3[[#This Row],[ORDEM]],[1]BASE_PROGRAMAÇÃO!A:A,[1]BASE_PROGRAMAÇÃO!L:L,"")</f>
        <v>PLANTIO</v>
      </c>
      <c r="H205" t="str">
        <f>_xlfn.XLOOKUP(Tabela3[[#This Row],[ORDEM]],[2]S_POST!$C:$C,[2]S_POST!$AG:$AG,"")</f>
        <v xml:space="preserve"> 210040000/210020000/210010000</v>
      </c>
      <c r="I205" t="str">
        <f>_xlfn.XLOOKUP(Tabela3[[#This Row],[ORDEM]],[1]BASE_PROGRAMAÇÃO!A:A,[1]BASE_PROGRAMAÇÃO!$E:$E,"")</f>
        <v>Mecânica</v>
      </c>
      <c r="J205" t="str">
        <f>_xlfn.XLOOKUP(Tabela3[[#This Row],[ORDEM]],[1]ENCERRADAS!A:A,[1]ENCERRADAS!B:B,"")</f>
        <v>P</v>
      </c>
    </row>
    <row r="206" spans="1:10" x14ac:dyDescent="0.25">
      <c r="A206" t="str">
        <f>_xlfn.XLOOKUP(Tabela3[[#This Row],[ORDEM]],[1]BASE_PROGRAMAÇÃO!A:A,[1]BASE_PROGRAMAÇÃO!C:C,"")</f>
        <v>QUADRICICLOS</v>
      </c>
      <c r="B206">
        <f>_xlfn.XLOOKUP(Tabela3[[#This Row],[ORDEM]],[1]BASE_PROGRAMAÇÃO!A:A,[1]BASE_PROGRAMAÇÃO!B:B,"")</f>
        <v>12040007</v>
      </c>
      <c r="C206">
        <v>200617</v>
      </c>
      <c r="D206" t="str">
        <f>_xlfn.XLOOKUP(Tabela3[[#This Row],[Coluna3]],'[1]BASE DE PLANOS'!A:A,'[1]BASE DE PLANOS'!B:B,"")</f>
        <v>Mecânica</v>
      </c>
      <c r="E206" s="2">
        <f>_xlfn.XLOOKUP(Tabela3[[#This Row],[ORDEM]],[1]BASE_PROGRAMAÇÃO!A:A,[1]BASE_PROGRAMAÇÃO!D:D,"")</f>
        <v>46113</v>
      </c>
      <c r="F206" s="2" t="str">
        <f>_xlfn.XLOOKUP(Tabela3[[#This Row],[ORDEM]],[1]BASE_PROGRAMAÇÃO!A:A,[1]BASE_PROGRAMAÇÃO!O:O,"")</f>
        <v>INTERNA</v>
      </c>
      <c r="G206" s="2" t="str">
        <f>_xlfn.XLOOKUP(Tabela3[[#This Row],[ORDEM]],[1]BASE_PROGRAMAÇÃO!A:A,[1]BASE_PROGRAMAÇÃO!L:L,"")</f>
        <v>ADMINISTRATIVO</v>
      </c>
      <c r="H206" t="str">
        <f>_xlfn.XLOOKUP(Tabela3[[#This Row],[ORDEM]],[2]S_POST!$C:$C,[2]S_POST!$AG:$AG,"")</f>
        <v xml:space="preserve"> 210000100</v>
      </c>
      <c r="I206" t="str">
        <f>_xlfn.XLOOKUP(Tabela3[[#This Row],[ORDEM]],[1]BASE_PROGRAMAÇÃO!A:A,[1]BASE_PROGRAMAÇÃO!$E:$E,"")</f>
        <v>Mecânica</v>
      </c>
      <c r="J206" t="str">
        <f>_xlfn.XLOOKUP(Tabela3[[#This Row],[ORDEM]],[1]ENCERRADAS!A:A,[1]ENCERRADAS!B:B,"")</f>
        <v>P</v>
      </c>
    </row>
    <row r="207" spans="1:10" x14ac:dyDescent="0.25">
      <c r="A207" t="str">
        <f>_xlfn.XLOOKUP(Tabela3[[#This Row],[ORDEM]],[1]BASE_PROGRAMAÇÃO!A:A,[1]BASE_PROGRAMAÇÃO!C:C,"")</f>
        <v>TRATORES</v>
      </c>
      <c r="B207">
        <f>_xlfn.XLOOKUP(Tabela3[[#This Row],[ORDEM]],[1]BASE_PROGRAMAÇÃO!A:A,[1]BASE_PROGRAMAÇÃO!B:B,"")</f>
        <v>13100012</v>
      </c>
      <c r="C207">
        <v>200616</v>
      </c>
      <c r="D207" t="str">
        <f>_xlfn.XLOOKUP(Tabela3[[#This Row],[Coluna3]],'[1]BASE DE PLANOS'!A:A,'[1]BASE DE PLANOS'!B:B,"")</f>
        <v/>
      </c>
      <c r="E207" s="2">
        <f>_xlfn.XLOOKUP(Tabela3[[#This Row],[ORDEM]],[1]BASE_PROGRAMAÇÃO!A:A,[1]BASE_PROGRAMAÇÃO!D:D,"")</f>
        <v>46112</v>
      </c>
      <c r="F207" s="2" t="str">
        <f>_xlfn.XLOOKUP(Tabela3[[#This Row],[ORDEM]],[1]BASE_PROGRAMAÇÃO!A:A,[1]BASE_PROGRAMAÇÃO!O:O,"")</f>
        <v>CAMPO</v>
      </c>
      <c r="G207" s="2" t="str">
        <f>_xlfn.XLOOKUP(Tabela3[[#This Row],[ORDEM]],[1]BASE_PROGRAMAÇÃO!A:A,[1]BASE_PROGRAMAÇÃO!L:L,"")</f>
        <v>PREPARO</v>
      </c>
      <c r="H207" t="str">
        <f>_xlfn.XLOOKUP(Tabela3[[#This Row],[ORDEM]],[2]S_POST!$C:$C,[2]S_POST!$AG:$AG,"")</f>
        <v xml:space="preserve"> 210004500/210001500/210000500</v>
      </c>
      <c r="I207" t="str">
        <f>_xlfn.XLOOKUP(Tabela3[[#This Row],[ORDEM]],[1]BASE_PROGRAMAÇÃO!A:A,[1]BASE_PROGRAMAÇÃO!$E:$E,"")</f>
        <v>Mecânica</v>
      </c>
      <c r="J207" t="str">
        <f>_xlfn.XLOOKUP(Tabela3[[#This Row],[ORDEM]],[1]ENCERRADAS!A:A,[1]ENCERRADAS!B:B,"")</f>
        <v>P</v>
      </c>
    </row>
    <row r="208" spans="1:10" x14ac:dyDescent="0.25">
      <c r="A208" t="str">
        <f>_xlfn.XLOOKUP(Tabela3[[#This Row],[ORDEM]],[1]BASE_PROGRAMAÇÃO!A:A,[1]BASE_PROGRAMAÇÃO!C:C,"")</f>
        <v>IMPLEMENTOS AGRICOLAS</v>
      </c>
      <c r="B208">
        <f>_xlfn.XLOOKUP(Tabela3[[#This Row],[ORDEM]],[1]BASE_PROGRAMAÇÃO!A:A,[1]BASE_PROGRAMAÇÃO!B:B,"")</f>
        <v>15080001</v>
      </c>
      <c r="C208">
        <v>200608</v>
      </c>
      <c r="D208" t="str">
        <f>_xlfn.XLOOKUP(Tabela3[[#This Row],[Coluna3]],'[1]BASE DE PLANOS'!A:A,'[1]BASE DE PLANOS'!B:B,"")</f>
        <v>Lubrificação</v>
      </c>
      <c r="E208" s="2">
        <f>_xlfn.XLOOKUP(Tabela3[[#This Row],[ORDEM]],[1]BASE_PROGRAMAÇÃO!A:A,[1]BASE_PROGRAMAÇÃO!D:D,"")</f>
        <v>46116</v>
      </c>
      <c r="F208" s="2" t="str">
        <f>_xlfn.XLOOKUP(Tabela3[[#This Row],[ORDEM]],[1]BASE_PROGRAMAÇÃO!A:A,[1]BASE_PROGRAMAÇÃO!O:O,"")</f>
        <v>CAMPO</v>
      </c>
      <c r="G208" s="2" t="str">
        <f>_xlfn.XLOOKUP(Tabela3[[#This Row],[ORDEM]],[1]BASE_PROGRAMAÇÃO!A:A,[1]BASE_PROGRAMAÇÃO!L:L,"")</f>
        <v>TRATOS CULTURAIS</v>
      </c>
      <c r="H208" t="str">
        <f>_xlfn.XLOOKUP(Tabela3[[#This Row],[ORDEM]],[2]S_POST!$C:$C,[2]S_POST!$AG:$AG,"")</f>
        <v xml:space="preserve"> 110000180</v>
      </c>
      <c r="I208" t="str">
        <f>_xlfn.XLOOKUP(Tabela3[[#This Row],[ORDEM]],[1]BASE_PROGRAMAÇÃO!A:A,[1]BASE_PROGRAMAÇÃO!$E:$E,"")</f>
        <v>Lubrificação</v>
      </c>
      <c r="J208" t="str">
        <f>_xlfn.XLOOKUP(Tabela3[[#This Row],[ORDEM]],[1]ENCERRADAS!A:A,[1]ENCERRADAS!B:B,"")</f>
        <v>P</v>
      </c>
    </row>
    <row r="209" spans="1:10" x14ac:dyDescent="0.25">
      <c r="A209" t="str">
        <f>_xlfn.XLOOKUP(Tabela3[[#This Row],[ORDEM]],[1]BASE_PROGRAMAÇÃO!A:A,[1]BASE_PROGRAMAÇÃO!C:C,"")</f>
        <v>TRATORES</v>
      </c>
      <c r="B209">
        <f>_xlfn.XLOOKUP(Tabela3[[#This Row],[ORDEM]],[1]BASE_PROGRAMAÇÃO!A:A,[1]BASE_PROGRAMAÇÃO!B:B,"")</f>
        <v>13130024</v>
      </c>
      <c r="C209">
        <v>200607</v>
      </c>
      <c r="D209" t="str">
        <f>_xlfn.XLOOKUP(Tabela3[[#This Row],[Coluna3]],'[1]BASE DE PLANOS'!A:A,'[1]BASE DE PLANOS'!B:B,"")</f>
        <v>Coleta</v>
      </c>
      <c r="E209" s="2">
        <f>_xlfn.XLOOKUP(Tabela3[[#This Row],[ORDEM]],[1]BASE_PROGRAMAÇÃO!A:A,[1]BASE_PROGRAMAÇÃO!D:D,"")</f>
        <v>46116</v>
      </c>
      <c r="F209" s="2" t="str">
        <f>_xlfn.XLOOKUP(Tabela3[[#This Row],[ORDEM]],[1]BASE_PROGRAMAÇÃO!A:A,[1]BASE_PROGRAMAÇÃO!O:O,"")</f>
        <v>CAMPO</v>
      </c>
      <c r="G209" s="2" t="str">
        <f>_xlfn.XLOOKUP(Tabela3[[#This Row],[ORDEM]],[1]BASE_PROGRAMAÇÃO!A:A,[1]BASE_PROGRAMAÇÃO!L:L,"")</f>
        <v>TRATOS CULTURAIS</v>
      </c>
      <c r="H209" t="str">
        <f>_xlfn.XLOOKUP(Tabela3[[#This Row],[ORDEM]],[2]S_POST!$C:$C,[2]S_POST!$AG:$AG,"")</f>
        <v xml:space="preserve"> 100000250</v>
      </c>
      <c r="I209" t="str">
        <f>_xlfn.XLOOKUP(Tabela3[[#This Row],[ORDEM]],[1]BASE_PROGRAMAÇÃO!A:A,[1]BASE_PROGRAMAÇÃO!$E:$E,"")</f>
        <v>Lubrificação</v>
      </c>
      <c r="J209" t="str">
        <f>_xlfn.XLOOKUP(Tabela3[[#This Row],[ORDEM]],[1]ENCERRADAS!A:A,[1]ENCERRADAS!B:B,"")</f>
        <v>P</v>
      </c>
    </row>
    <row r="210" spans="1:10" x14ac:dyDescent="0.25">
      <c r="A210" t="str">
        <f>_xlfn.XLOOKUP(Tabela3[[#This Row],[ORDEM]],[1]BASE_PROGRAMAÇÃO!A:A,[1]BASE_PROGRAMAÇÃO!C:C,"")</f>
        <v>MAQUINAS PESADAS</v>
      </c>
      <c r="B210">
        <f>_xlfn.XLOOKUP(Tabela3[[#This Row],[ORDEM]],[1]BASE_PROGRAMAÇÃO!A:A,[1]BASE_PROGRAMAÇÃO!B:B,"")</f>
        <v>13040060</v>
      </c>
      <c r="C210">
        <v>200606</v>
      </c>
      <c r="D210" t="str">
        <f>_xlfn.XLOOKUP(Tabela3[[#This Row],[Coluna3]],'[1]BASE DE PLANOS'!A:A,'[1]BASE DE PLANOS'!B:B,"")</f>
        <v>Coleta</v>
      </c>
      <c r="E210" s="2">
        <f>_xlfn.XLOOKUP(Tabela3[[#This Row],[ORDEM]],[1]BASE_PROGRAMAÇÃO!A:A,[1]BASE_PROGRAMAÇÃO!D:D,"")</f>
        <v>46114</v>
      </c>
      <c r="F210" s="2" t="str">
        <f>_xlfn.XLOOKUP(Tabela3[[#This Row],[ORDEM]],[1]BASE_PROGRAMAÇÃO!A:A,[1]BASE_PROGRAMAÇÃO!O:O,"")</f>
        <v>CAMPO</v>
      </c>
      <c r="G210" s="2" t="str">
        <f>_xlfn.XLOOKUP(Tabela3[[#This Row],[ORDEM]],[1]BASE_PROGRAMAÇÃO!A:A,[1]BASE_PROGRAMAÇÃO!L:L,"")</f>
        <v>PREPARO</v>
      </c>
      <c r="H210" t="str">
        <f>_xlfn.XLOOKUP(Tabela3[[#This Row],[ORDEM]],[2]S_POST!$C:$C,[2]S_POST!$AG:$AG,"")</f>
        <v xml:space="preserve"> 100000250</v>
      </c>
      <c r="I210" t="str">
        <f>_xlfn.XLOOKUP(Tabela3[[#This Row],[ORDEM]],[1]BASE_PROGRAMAÇÃO!A:A,[1]BASE_PROGRAMAÇÃO!$E:$E,"")</f>
        <v>Lubrificação</v>
      </c>
      <c r="J210" t="str">
        <f>_xlfn.XLOOKUP(Tabela3[[#This Row],[ORDEM]],[1]ENCERRADAS!A:A,[1]ENCERRADAS!B:B,"")</f>
        <v>P</v>
      </c>
    </row>
    <row r="211" spans="1:10" x14ac:dyDescent="0.25">
      <c r="A211" t="str">
        <f>_xlfn.XLOOKUP(Tabela3[[#This Row],[ORDEM]],[1]BASE_PROGRAMAÇÃO!A:A,[1]BASE_PROGRAMAÇÃO!C:C,"")</f>
        <v>TRATORES</v>
      </c>
      <c r="B211">
        <f>_xlfn.XLOOKUP(Tabela3[[#This Row],[ORDEM]],[1]BASE_PROGRAMAÇÃO!A:A,[1]BASE_PROGRAMAÇÃO!B:B,"")</f>
        <v>13100489</v>
      </c>
      <c r="C211">
        <v>200605</v>
      </c>
      <c r="D211" t="str">
        <f>_xlfn.XLOOKUP(Tabela3[[#This Row],[Coluna3]],'[1]BASE DE PLANOS'!A:A,'[1]BASE DE PLANOS'!B:B,"")</f>
        <v>Coleta</v>
      </c>
      <c r="E211" s="2">
        <f>_xlfn.XLOOKUP(Tabela3[[#This Row],[ORDEM]],[1]BASE_PROGRAMAÇÃO!A:A,[1]BASE_PROGRAMAÇÃO!D:D,"")</f>
        <v>46113</v>
      </c>
      <c r="F211" s="2" t="str">
        <f>_xlfn.XLOOKUP(Tabela3[[#This Row],[ORDEM]],[1]BASE_PROGRAMAÇÃO!A:A,[1]BASE_PROGRAMAÇÃO!O:O,"")</f>
        <v>CAMPO</v>
      </c>
      <c r="G211" s="2" t="str">
        <f>_xlfn.XLOOKUP(Tabela3[[#This Row],[ORDEM]],[1]BASE_PROGRAMAÇÃO!A:A,[1]BASE_PROGRAMAÇÃO!L:L,"")</f>
        <v>COLHEITA</v>
      </c>
      <c r="H211" t="str">
        <f>_xlfn.XLOOKUP(Tabela3[[#This Row],[ORDEM]],[2]S_POST!$C:$C,[2]S_POST!$AG:$AG,"")</f>
        <v xml:space="preserve"> 100000250</v>
      </c>
      <c r="I211" t="str">
        <f>_xlfn.XLOOKUP(Tabela3[[#This Row],[ORDEM]],[1]BASE_PROGRAMAÇÃO!A:A,[1]BASE_PROGRAMAÇÃO!$E:$E,"")</f>
        <v>Lubrificação</v>
      </c>
      <c r="J211" t="str">
        <f>_xlfn.XLOOKUP(Tabela3[[#This Row],[ORDEM]],[1]ENCERRADAS!A:A,[1]ENCERRADAS!B:B,"")</f>
        <v>P</v>
      </c>
    </row>
    <row r="212" spans="1:10" x14ac:dyDescent="0.25">
      <c r="A212" t="str">
        <f>_xlfn.XLOOKUP(Tabela3[[#This Row],[ORDEM]],[1]BASE_PROGRAMAÇÃO!A:A,[1]BASE_PROGRAMAÇÃO!C:C,"")</f>
        <v>COLHEDORAS</v>
      </c>
      <c r="B212">
        <f>_xlfn.XLOOKUP(Tabela3[[#This Row],[ORDEM]],[1]BASE_PROGRAMAÇÃO!A:A,[1]BASE_PROGRAMAÇÃO!B:B,"")</f>
        <v>13020239</v>
      </c>
      <c r="C212">
        <v>200604</v>
      </c>
      <c r="D212" t="str">
        <f>_xlfn.XLOOKUP(Tabela3[[#This Row],[Coluna3]],'[1]BASE DE PLANOS'!A:A,'[1]BASE DE PLANOS'!B:B,"")</f>
        <v>Coleta</v>
      </c>
      <c r="E212" s="2">
        <f>_xlfn.XLOOKUP(Tabela3[[#This Row],[ORDEM]],[1]BASE_PROGRAMAÇÃO!A:A,[1]BASE_PROGRAMAÇÃO!D:D,"")</f>
        <v>46111</v>
      </c>
      <c r="F212" s="2" t="str">
        <f>_xlfn.XLOOKUP(Tabela3[[#This Row],[ORDEM]],[1]BASE_PROGRAMAÇÃO!A:A,[1]BASE_PROGRAMAÇÃO!O:O,"")</f>
        <v>CAMPO</v>
      </c>
      <c r="G212" s="2" t="str">
        <f>_xlfn.XLOOKUP(Tabela3[[#This Row],[ORDEM]],[1]BASE_PROGRAMAÇÃO!A:A,[1]BASE_PROGRAMAÇÃO!L:L,"")</f>
        <v>COLHEITA</v>
      </c>
      <c r="H212" t="str">
        <f>_xlfn.XLOOKUP(Tabela3[[#This Row],[ORDEM]],[2]S_POST!$C:$C,[2]S_POST!$AG:$AG,"")</f>
        <v xml:space="preserve"> 100000185</v>
      </c>
      <c r="I212" t="str">
        <f>_xlfn.XLOOKUP(Tabela3[[#This Row],[ORDEM]],[1]BASE_PROGRAMAÇÃO!A:A,[1]BASE_PROGRAMAÇÃO!$E:$E,"")</f>
        <v>Lubrificação</v>
      </c>
      <c r="J212" t="str">
        <f>_xlfn.XLOOKUP(Tabela3[[#This Row],[ORDEM]],[1]ENCERRADAS!A:A,[1]ENCERRADAS!B:B,"")</f>
        <v>P</v>
      </c>
    </row>
    <row r="213" spans="1:10" x14ac:dyDescent="0.25">
      <c r="A213" t="str">
        <f>_xlfn.XLOOKUP(Tabela3[[#This Row],[ORDEM]],[1]BASE_PROGRAMAÇÃO!A:A,[1]BASE_PROGRAMAÇÃO!C:C,"")</f>
        <v>CAMINHOES</v>
      </c>
      <c r="B213">
        <f>_xlfn.XLOOKUP(Tabela3[[#This Row],[ORDEM]],[1]BASE_PROGRAMAÇÃO!A:A,[1]BASE_PROGRAMAÇÃO!B:B,"")</f>
        <v>11040039</v>
      </c>
      <c r="C213">
        <v>200603</v>
      </c>
      <c r="D213" t="str">
        <f>_xlfn.XLOOKUP(Tabela3[[#This Row],[Coluna3]],'[1]BASE DE PLANOS'!A:A,'[1]BASE DE PLANOS'!B:B,"")</f>
        <v>Coleta</v>
      </c>
      <c r="E213" s="2">
        <f>_xlfn.XLOOKUP(Tabela3[[#This Row],[ORDEM]],[1]BASE_PROGRAMAÇÃO!A:A,[1]BASE_PROGRAMAÇÃO!D:D,"")</f>
        <v>46111</v>
      </c>
      <c r="F213" s="2" t="str">
        <f>_xlfn.XLOOKUP(Tabela3[[#This Row],[ORDEM]],[1]BASE_PROGRAMAÇÃO!A:A,[1]BASE_PROGRAMAÇÃO!O:O,"")</f>
        <v>INTERNA</v>
      </c>
      <c r="G213" s="2" t="str">
        <f>_xlfn.XLOOKUP(Tabela3[[#This Row],[ORDEM]],[1]BASE_PROGRAMAÇÃO!A:A,[1]BASE_PROGRAMAÇÃO!L:L,"")</f>
        <v>APOIO</v>
      </c>
      <c r="H213" t="str">
        <f>_xlfn.XLOOKUP(Tabela3[[#This Row],[ORDEM]],[2]S_POST!$C:$C,[2]S_POST!$AG:$AG,"")</f>
        <v xml:space="preserve"> 100010000</v>
      </c>
      <c r="I213" t="str">
        <f>_xlfn.XLOOKUP(Tabela3[[#This Row],[ORDEM]],[1]BASE_PROGRAMAÇÃO!A:A,[1]BASE_PROGRAMAÇÃO!$E:$E,"")</f>
        <v>Lubrificação</v>
      </c>
      <c r="J213" t="str">
        <f>_xlfn.XLOOKUP(Tabela3[[#This Row],[ORDEM]],[1]ENCERRADAS!A:A,[1]ENCERRADAS!B:B,"")</f>
        <v>P</v>
      </c>
    </row>
    <row r="214" spans="1:10" x14ac:dyDescent="0.25">
      <c r="A214" t="str">
        <f>_xlfn.XLOOKUP(Tabela3[[#This Row],[ORDEM]],[1]BASE_PROGRAMAÇÃO!A:A,[1]BASE_PROGRAMAÇÃO!C:C,"")</f>
        <v>TRATORES</v>
      </c>
      <c r="B214">
        <f>_xlfn.XLOOKUP(Tabela3[[#This Row],[ORDEM]],[1]BASE_PROGRAMAÇÃO!A:A,[1]BASE_PROGRAMAÇÃO!B:B,"")</f>
        <v>13100002</v>
      </c>
      <c r="C214">
        <v>200625</v>
      </c>
      <c r="D214" t="str">
        <f>_xlfn.XLOOKUP(Tabela3[[#This Row],[Coluna3]],'[1]BASE DE PLANOS'!A:A,'[1]BASE DE PLANOS'!B:B,"")</f>
        <v>Mecânica</v>
      </c>
      <c r="E214" s="2">
        <f>_xlfn.XLOOKUP(Tabela3[[#This Row],[ORDEM]],[1]BASE_PROGRAMAÇÃO!A:A,[1]BASE_PROGRAMAÇÃO!D:D,"")</f>
        <v>46114</v>
      </c>
      <c r="F214" s="2" t="str">
        <f>_xlfn.XLOOKUP(Tabela3[[#This Row],[ORDEM]],[1]BASE_PROGRAMAÇÃO!A:A,[1]BASE_PROGRAMAÇÃO!O:O,"")</f>
        <v>CAMPO</v>
      </c>
      <c r="G214" s="2" t="str">
        <f>_xlfn.XLOOKUP(Tabela3[[#This Row],[ORDEM]],[1]BASE_PROGRAMAÇÃO!A:A,[1]BASE_PROGRAMAÇÃO!L:L,"")</f>
        <v>TRATOS CULTURAIS</v>
      </c>
      <c r="H214" t="str">
        <f>_xlfn.XLOOKUP(Tabela3[[#This Row],[ORDEM]],[2]S_POST!$C:$C,[2]S_POST!$AG:$AG,"")</f>
        <v xml:space="preserve"> 210000500</v>
      </c>
      <c r="I214" t="str">
        <f>_xlfn.XLOOKUP(Tabela3[[#This Row],[ORDEM]],[1]BASE_PROGRAMAÇÃO!A:A,[1]BASE_PROGRAMAÇÃO!$E:$E,"")</f>
        <v>Mecânica</v>
      </c>
      <c r="J214" t="str">
        <f>_xlfn.XLOOKUP(Tabela3[[#This Row],[ORDEM]],[1]ENCERRADAS!A:A,[1]ENCERRADAS!B:B,"")</f>
        <v>P</v>
      </c>
    </row>
    <row r="215" spans="1:10" x14ac:dyDescent="0.25">
      <c r="E215"/>
      <c r="F215"/>
      <c r="G215"/>
      <c r="H215"/>
      <c r="I215"/>
    </row>
    <row r="216" spans="1:10" x14ac:dyDescent="0.25">
      <c r="E216"/>
      <c r="F216"/>
      <c r="G216"/>
      <c r="H216"/>
      <c r="I216"/>
    </row>
    <row r="217" spans="1:10" x14ac:dyDescent="0.25">
      <c r="E217"/>
      <c r="F217"/>
      <c r="G217"/>
      <c r="H217"/>
      <c r="I217"/>
    </row>
    <row r="218" spans="1:10" x14ac:dyDescent="0.25">
      <c r="E218"/>
      <c r="F218"/>
      <c r="G218"/>
      <c r="H218"/>
      <c r="I218"/>
    </row>
    <row r="219" spans="1:10" x14ac:dyDescent="0.25">
      <c r="E219"/>
      <c r="F219"/>
      <c r="G219"/>
      <c r="H219"/>
      <c r="I219"/>
    </row>
    <row r="220" spans="1:10" x14ac:dyDescent="0.25">
      <c r="E220"/>
      <c r="F220"/>
      <c r="G220"/>
      <c r="H220"/>
      <c r="I220"/>
    </row>
    <row r="221" spans="1:10" x14ac:dyDescent="0.25">
      <c r="E221"/>
      <c r="F221"/>
      <c r="G221"/>
      <c r="H221"/>
      <c r="I221"/>
    </row>
    <row r="222" spans="1:10" x14ac:dyDescent="0.25">
      <c r="E222"/>
      <c r="F222"/>
      <c r="G222"/>
      <c r="H222"/>
      <c r="I222"/>
    </row>
    <row r="223" spans="1:10" x14ac:dyDescent="0.25">
      <c r="E223"/>
      <c r="F223"/>
      <c r="G223"/>
      <c r="H223"/>
      <c r="I223"/>
    </row>
    <row r="224" spans="1:10" x14ac:dyDescent="0.25">
      <c r="E224"/>
      <c r="F224"/>
      <c r="G224"/>
      <c r="H224"/>
      <c r="I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spans="5:9" x14ac:dyDescent="0.25">
      <c r="E257"/>
      <c r="F257"/>
      <c r="G257"/>
      <c r="H257"/>
      <c r="I257"/>
    </row>
    <row r="258" spans="5:9" x14ac:dyDescent="0.25">
      <c r="E258"/>
      <c r="F258"/>
      <c r="G258"/>
      <c r="H258"/>
      <c r="I258"/>
    </row>
    <row r="259" spans="5:9" x14ac:dyDescent="0.25">
      <c r="E259"/>
      <c r="F259"/>
      <c r="G259"/>
      <c r="H259"/>
      <c r="I259"/>
    </row>
    <row r="260" spans="5:9" x14ac:dyDescent="0.25">
      <c r="E260"/>
      <c r="F260"/>
      <c r="G260"/>
      <c r="H260"/>
      <c r="I260"/>
    </row>
    <row r="261" spans="5:9" x14ac:dyDescent="0.25">
      <c r="E261"/>
      <c r="F261"/>
      <c r="G261"/>
      <c r="H261"/>
      <c r="I261"/>
    </row>
    <row r="262" spans="5:9" x14ac:dyDescent="0.25">
      <c r="E262"/>
      <c r="F262"/>
      <c r="G262"/>
      <c r="H262"/>
      <c r="I262"/>
    </row>
    <row r="263" spans="5:9" x14ac:dyDescent="0.25">
      <c r="H263"/>
      <c r="I263"/>
    </row>
    <row r="264" spans="5:9" x14ac:dyDescent="0.25">
      <c r="H264"/>
      <c r="I264"/>
    </row>
    <row r="265" spans="5:9" x14ac:dyDescent="0.25">
      <c r="H265"/>
      <c r="I265"/>
    </row>
    <row r="266" spans="5:9" x14ac:dyDescent="0.25">
      <c r="H266"/>
      <c r="I266"/>
    </row>
    <row r="267" spans="5:9" x14ac:dyDescent="0.25">
      <c r="H267"/>
      <c r="I267"/>
    </row>
    <row r="268" spans="5:9" x14ac:dyDescent="0.25">
      <c r="H268"/>
      <c r="I268"/>
    </row>
    <row r="269" spans="5:9" x14ac:dyDescent="0.25">
      <c r="E269"/>
      <c r="F269"/>
      <c r="G269"/>
      <c r="H269"/>
      <c r="I269"/>
    </row>
    <row r="270" spans="5:9" x14ac:dyDescent="0.25">
      <c r="E270"/>
      <c r="F270"/>
      <c r="G270"/>
      <c r="H270"/>
      <c r="I270"/>
    </row>
    <row r="271" spans="5:9" x14ac:dyDescent="0.25">
      <c r="E271"/>
      <c r="F271"/>
      <c r="G271"/>
      <c r="H271"/>
      <c r="I271"/>
    </row>
    <row r="272" spans="5:9" x14ac:dyDescent="0.25">
      <c r="E272"/>
      <c r="F272"/>
      <c r="G272"/>
      <c r="H272"/>
      <c r="I272"/>
    </row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conditionalFormatting sqref="B365:B1048576 B1:B214">
    <cfRule type="duplicateValues" dxfId="3" priority="4"/>
  </conditionalFormatting>
  <conditionalFormatting sqref="B408:B1048576 B1:B214">
    <cfRule type="duplicateValues" dxfId="2" priority="3"/>
  </conditionalFormatting>
  <conditionalFormatting sqref="C529:C1048576 C1:C214 C439:C451">
    <cfRule type="duplicateValues" dxfId="1" priority="1"/>
  </conditionalFormatting>
  <conditionalFormatting sqref="P1">
    <cfRule type="duplicateValues" dxfId="0" priority="2"/>
  </conditionalFormatting>
  <pageMargins left="0" right="0" top="0" bottom="0" header="0" footer="0"/>
  <pageSetup paperSize="9" scale="3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ExportarTXT_PorDataESetor_SemSinal">
                <anchor moveWithCells="1" sizeWithCells="1">
                  <from>
                    <xdr:col>10</xdr:col>
                    <xdr:colOff>19050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1]!ExportarRelatorio_internaMecanica_ComOrdem">
                <anchor moveWithCells="1" sizeWithCells="1">
                  <from>
                    <xdr:col>11</xdr:col>
                    <xdr:colOff>352425</xdr:colOff>
                    <xdr:row>0</xdr:row>
                    <xdr:rowOff>0</xdr:rowOff>
                  </from>
                  <to>
                    <xdr:col>12</xdr:col>
                    <xdr:colOff>466725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WHATSAPP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Amorim Ozebio Cafe dos Santos</dc:creator>
  <cp:lastModifiedBy>Eduardo Amorim Ozebio Cafe dos Santos</cp:lastModifiedBy>
  <dcterms:created xsi:type="dcterms:W3CDTF">2026-03-28T21:22:03Z</dcterms:created>
  <dcterms:modified xsi:type="dcterms:W3CDTF">2026-03-28T21:56:11Z</dcterms:modified>
</cp:coreProperties>
</file>